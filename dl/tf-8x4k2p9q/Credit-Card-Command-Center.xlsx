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color rgb="00FFFFFF"/>
      <sz val="10"/>
    </font>
    <font>
      <b val="1"/>
      <color rgb="00C9A227"/>
      <sz val="9"/>
    </font>
    <font>
      <b val="1"/>
      <color rgb="000B2A4A"/>
      <sz val="12"/>
    </font>
    <font>
      <color rgb="001A1A1A"/>
      <sz val="10"/>
    </font>
    <font>
      <i val="1"/>
      <color rgb="006B7A82"/>
      <sz val="10"/>
    </font>
    <font>
      <b val="1"/>
      <color rgb="00FFFFFF"/>
      <sz val="10"/>
    </font>
    <font>
      <b val="1"/>
      <color rgb="001A1A1A"/>
      <sz val="10"/>
    </font>
    <font>
      <b val="1"/>
      <color rgb="000B2A4A"/>
      <sz val="10"/>
    </font>
    <font>
      <b val="1"/>
      <color rgb="001A1A1A"/>
      <sz val="11"/>
    </font>
  </fonts>
  <fills count="5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0E7C7B"/>
      </patternFill>
    </fill>
    <fill>
      <patternFill patternType="solid">
        <fgColor rgb="00EEF2F4"/>
      </patternFill>
    </fill>
  </fills>
  <borders count="2">
    <border>
      <left/>
      <right/>
      <top/>
      <bottom/>
      <diagonal/>
    </border>
    <border>
      <left style="thin">
        <color rgb="00D0D7DC"/>
      </left>
      <right style="thin">
        <color rgb="00D0D7DC"/>
      </right>
      <top style="thin">
        <color rgb="00D0D7DC"/>
      </top>
      <bottom style="thin">
        <color rgb="00D0D7D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2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164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1B7A3D"/>
      </font>
      <fill>
        <patternFill patternType="solid">
          <fgColor rgb="00D6F0DD"/>
        </patternFill>
      </fill>
    </dxf>
    <dxf>
      <font>
        <b val="1"/>
        <color rgb="009A5B00"/>
      </font>
      <fill>
        <patternFill patternType="solid">
          <fgColor rgb="00FCE9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 ht="26" customHeight="1">
      <c r="A1" s="1" t="inlineStr">
        <is>
          <t>How to use this template</t>
        </is>
      </c>
    </row>
    <row r="2" ht="16" customHeight="1">
      <c r="A2" s="2" t="inlineStr">
        <is>
          <t>Start here — 2-minute setup.</t>
        </is>
      </c>
    </row>
    <row r="3" ht="15" customHeight="1">
      <c r="A3" s="3" t="inlineStr">
        <is>
          <t>Travel &amp; Finance  ·  travelfinancetips.com   —   Educational only, not financial advice.</t>
        </is>
      </c>
    </row>
    <row r="5">
      <c r="B5" s="4" t="inlineStr">
        <is>
          <t>Credit Card Command Center</t>
        </is>
      </c>
    </row>
    <row r="6">
      <c r="B6" s="5" t="inlineStr">
        <is>
          <t>One dashboard for every card you hold — fees, credits used vs. left, renewal months, points value, and a rolling 5/24 count.</t>
        </is>
      </c>
    </row>
    <row r="7">
      <c r="B7" s="5" t="inlineStr"/>
    </row>
    <row r="8">
      <c r="B8" s="4" t="inlineStr">
        <is>
          <t>How to use it</t>
        </is>
      </c>
    </row>
    <row r="9">
      <c r="B9" s="5" t="inlineStr">
        <is>
          <t>1. Go to the 'Cards' tab. Replace the 3 sample rows with your own cards (or delete them and start fresh).</t>
        </is>
      </c>
    </row>
    <row r="10">
      <c r="B10" s="5" t="inlineStr">
        <is>
          <t>2. Fill white cells only: card name, issuer, annual fee, the month the fee posts, the date you opened it, your points balance &amp; a rough value per point, and your annual credits (total offered + how much you've used).</t>
        </is>
      </c>
    </row>
    <row r="11">
      <c r="B11" s="5" t="inlineStr">
        <is>
          <t>3. Shaded columns calculate automatically — Est. Value, Credits Left, and a KEEP / REVIEW verdict per card.</t>
        </is>
      </c>
    </row>
    <row r="12">
      <c r="B12" s="5" t="inlineStr">
        <is>
          <t>4. The summary strip at the top totals your annual fees, your points value, and your 5/24 count (cards opened in the last 24 months).</t>
        </is>
      </c>
    </row>
    <row r="13">
      <c r="B13" s="5" t="inlineStr"/>
    </row>
    <row r="14">
      <c r="B14" s="4" t="inlineStr">
        <is>
          <t>Reading the verdict</t>
        </is>
      </c>
    </row>
    <row r="15">
      <c r="B15" s="5" t="inlineStr">
        <is>
          <t>KEEP = the credits you actually use + your points value already cover the annual fee. REVIEW = it doesn't (yet) — worth a keep-or-cancel look. Pair it with the Annual-Fee ROI Calculator for the full math.</t>
        </is>
      </c>
    </row>
    <row r="16">
      <c r="B16" s="5" t="inlineStr"/>
    </row>
    <row r="17">
      <c r="B17" s="6" t="inlineStr">
        <is>
          <t>Works in Excel and Google Sheets (File → Make a copy). A Notion version is included free when it launches — email the address on your receipt.</t>
        </is>
      </c>
    </row>
    <row r="18">
      <c r="B18" s="6" t="inlineStr">
        <is>
          <t>Educational only, not financial advice. Need a new card? See travelfinancetips.com.</t>
        </is>
      </c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8" customWidth="1" min="3" max="3"/>
    <col width="9" customWidth="1" min="4" max="4"/>
    <col width="11" customWidth="1" min="5" max="5"/>
    <col width="10" customWidth="1" min="6" max="6"/>
    <col width="8" customWidth="1" min="7" max="7"/>
    <col width="11" customWidth="1" min="8" max="8"/>
    <col width="10" customWidth="1" min="9" max="9"/>
    <col width="9" customWidth="1" min="10" max="10"/>
    <col width="9" customWidth="1" min="11" max="11"/>
    <col width="12" customWidth="1" min="12" max="12"/>
    <col width="12" customWidth="1" min="13" max="13"/>
    <col width="26" customWidth="1" min="14" max="14"/>
  </cols>
  <sheetData>
    <row r="1" ht="26" customHeight="1">
      <c r="A1" s="1" t="inlineStr">
        <is>
          <t>Credit Card Command Center</t>
        </is>
      </c>
    </row>
    <row r="2" ht="16" customHeight="1">
      <c r="A2" s="2" t="inlineStr">
        <is>
          <t>Enter each card once. Shaded columns calculate for you.</t>
        </is>
      </c>
    </row>
    <row r="3" ht="15" customHeight="1">
      <c r="A3" s="3" t="inlineStr">
        <is>
          <t>Travel &amp; Finance  ·  travelfinancetips.com   —   Educational only, not financial advice.</t>
        </is>
      </c>
    </row>
    <row r="5" ht="30" customHeight="1">
      <c r="A5" s="7" t="inlineStr">
        <is>
          <t>Card Name</t>
        </is>
      </c>
      <c r="B5" s="7" t="inlineStr">
        <is>
          <t>Issuer</t>
        </is>
      </c>
      <c r="C5" s="7" t="inlineStr">
        <is>
          <t>Annual
Fee ($)</t>
        </is>
      </c>
      <c r="D5" s="7" t="inlineStr">
        <is>
          <t>Fee Due
Month</t>
        </is>
      </c>
      <c r="E5" s="7" t="inlineStr">
        <is>
          <t>Date
Opened</t>
        </is>
      </c>
      <c r="F5" s="7" t="inlineStr">
        <is>
          <t>Points
Balance</t>
        </is>
      </c>
      <c r="G5" s="7" t="inlineStr">
        <is>
          <t>Value
per pt (¢)</t>
        </is>
      </c>
      <c r="H5" s="7" t="inlineStr">
        <is>
          <t>Est. Points
Value ($)</t>
        </is>
      </c>
      <c r="I5" s="7" t="inlineStr">
        <is>
          <t>Credits
Offered ($)</t>
        </is>
      </c>
      <c r="J5" s="7" t="inlineStr">
        <is>
          <t>Credits
Used ($)</t>
        </is>
      </c>
      <c r="K5" s="7" t="inlineStr">
        <is>
          <t>Credits
Left ($)</t>
        </is>
      </c>
      <c r="L5" s="7" t="inlineStr">
        <is>
          <t>Keep
Verdict</t>
        </is>
      </c>
      <c r="M5" s="7" t="inlineStr">
        <is>
          <t>Status</t>
        </is>
      </c>
      <c r="N5" s="7" t="inlineStr">
        <is>
          <t>Notes</t>
        </is>
      </c>
    </row>
    <row r="6">
      <c r="A6" s="8" t="inlineStr">
        <is>
          <t>Premium Travel (Plat-type)</t>
        </is>
      </c>
      <c r="B6" s="9" t="inlineStr">
        <is>
          <t>Amex</t>
        </is>
      </c>
      <c r="C6" s="9" t="n">
        <v>695</v>
      </c>
      <c r="D6" s="9" t="inlineStr">
        <is>
          <t>Feb</t>
        </is>
      </c>
      <c r="E6" s="13" t="n">
        <v>45361</v>
      </c>
      <c r="F6" s="9" t="n">
        <v>120000</v>
      </c>
      <c r="G6" s="9" t="n">
        <v>1.1</v>
      </c>
      <c r="H6" s="10">
        <f>IF(A6="","",IF(OR(F6="",G6=""),0,F6*G6/100))</f>
        <v/>
      </c>
      <c r="I6" s="9" t="n">
        <v>764</v>
      </c>
      <c r="J6" s="9" t="n">
        <v>600</v>
      </c>
      <c r="K6" s="10">
        <f>IF(A6="","",IF(I6="",0,I6)-IF(J6="",0,J6))</f>
        <v/>
      </c>
      <c r="L6" s="10">
        <f>IF(A6="","",IF((IF(J6="",0,J6)+H6)&gt;=IF(C6="",0,C6),"KEEP","REVIEW"))</f>
        <v/>
      </c>
      <c r="M6" s="9" t="inlineStr">
        <is>
          <t>Active</t>
        </is>
      </c>
      <c r="N6" s="8" t="inlineStr">
        <is>
          <t>Uses airline + hotel credits</t>
        </is>
      </c>
    </row>
    <row r="7">
      <c r="A7" s="8" t="inlineStr">
        <is>
          <t>Everyday 2x (no fee)</t>
        </is>
      </c>
      <c r="B7" s="9" t="inlineStr">
        <is>
          <t>Citi</t>
        </is>
      </c>
      <c r="C7" s="9" t="inlineStr"/>
      <c r="D7" s="9" t="n"/>
      <c r="E7" s="13" t="n">
        <v>45139</v>
      </c>
      <c r="F7" s="9" t="n">
        <v>45000</v>
      </c>
      <c r="G7" s="9" t="n">
        <v>1</v>
      </c>
      <c r="H7" s="10">
        <f>IF(A7="","",IF(OR(F7="",G7=""),0,F7*G7/100))</f>
        <v/>
      </c>
      <c r="I7" s="9" t="n">
        <v>0</v>
      </c>
      <c r="J7" s="9" t="n">
        <v>0</v>
      </c>
      <c r="K7" s="10">
        <f>IF(A7="","",IF(I7="",0,I7)-IF(J7="",0,J7))</f>
        <v/>
      </c>
      <c r="L7" s="10">
        <f>IF(A7="","",IF((IF(J7="",0,J7)+H7)&gt;=IF(C7="",0,C7),"KEEP","REVIEW"))</f>
        <v/>
      </c>
      <c r="M7" s="9" t="inlineStr">
        <is>
          <t>Active</t>
        </is>
      </c>
      <c r="N7" s="8" t="inlineStr">
        <is>
          <t>Base earn card</t>
        </is>
      </c>
    </row>
    <row r="8">
      <c r="A8" s="8" t="inlineStr">
        <is>
          <t>Hotel Free-Night</t>
        </is>
      </c>
      <c r="B8" s="9" t="inlineStr">
        <is>
          <t>Chase</t>
        </is>
      </c>
      <c r="C8" s="9" t="n">
        <v>95</v>
      </c>
      <c r="D8" s="9" t="inlineStr">
        <is>
          <t>Jun</t>
        </is>
      </c>
      <c r="E8" s="13" t="n">
        <v>45672</v>
      </c>
      <c r="F8" s="9" t="n">
        <v>30000</v>
      </c>
      <c r="G8" s="9" t="n">
        <v>0.6</v>
      </c>
      <c r="H8" s="10">
        <f>IF(A8="","",IF(OR(F8="",G8=""),0,F8*G8/100))</f>
        <v/>
      </c>
      <c r="I8" s="9" t="n">
        <v>0</v>
      </c>
      <c r="J8" s="9" t="n">
        <v>0</v>
      </c>
      <c r="K8" s="10">
        <f>IF(A8="","",IF(I8="",0,I8)-IF(J8="",0,J8))</f>
        <v/>
      </c>
      <c r="L8" s="10">
        <f>IF(A8="","",IF((IF(J8="",0,J8)+H8)&gt;=IF(C8="",0,C8),"KEEP","REVIEW"))</f>
        <v/>
      </c>
      <c r="M8" s="9" t="inlineStr">
        <is>
          <t>Sock-drawer</t>
        </is>
      </c>
      <c r="N8" s="8" t="inlineStr">
        <is>
          <t>Keep for free night</t>
        </is>
      </c>
    </row>
    <row r="9">
      <c r="A9" s="8" t="n"/>
      <c r="B9" s="9" t="n"/>
      <c r="C9" s="9" t="n"/>
      <c r="D9" s="9" t="n"/>
      <c r="E9" s="13" t="n"/>
      <c r="F9" s="9" t="n"/>
      <c r="G9" s="9" t="n"/>
      <c r="H9" s="10">
        <f>IF(A9="","",IF(OR(F9="",G9=""),0,F9*G9/100))</f>
        <v/>
      </c>
      <c r="I9" s="9" t="n"/>
      <c r="J9" s="9" t="n"/>
      <c r="K9" s="10">
        <f>IF(A9="","",IF(I9="",0,I9)-IF(J9="",0,J9))</f>
        <v/>
      </c>
      <c r="L9" s="10">
        <f>IF(A9="","",IF((IF(J9="",0,J9)+H9)&gt;=IF(C9="",0,C9),"KEEP","REVIEW"))</f>
        <v/>
      </c>
      <c r="M9" s="9" t="n"/>
      <c r="N9" s="8" t="n"/>
    </row>
    <row r="10">
      <c r="A10" s="8" t="n"/>
      <c r="B10" s="9" t="n"/>
      <c r="C10" s="9" t="n"/>
      <c r="D10" s="9" t="n"/>
      <c r="E10" s="13" t="n"/>
      <c r="F10" s="9" t="n"/>
      <c r="G10" s="9" t="n"/>
      <c r="H10" s="10">
        <f>IF(A10="","",IF(OR(F10="",G10=""),0,F10*G10/100))</f>
        <v/>
      </c>
      <c r="I10" s="9" t="n"/>
      <c r="J10" s="9" t="n"/>
      <c r="K10" s="10">
        <f>IF(A10="","",IF(I10="",0,I10)-IF(J10="",0,J10))</f>
        <v/>
      </c>
      <c r="L10" s="10">
        <f>IF(A10="","",IF((IF(J10="",0,J10)+H10)&gt;=IF(C10="",0,C10),"KEEP","REVIEW"))</f>
        <v/>
      </c>
      <c r="M10" s="9" t="n"/>
      <c r="N10" s="8" t="n"/>
    </row>
    <row r="11">
      <c r="A11" s="8" t="n"/>
      <c r="B11" s="9" t="n"/>
      <c r="C11" s="9" t="n"/>
      <c r="D11" s="9" t="n"/>
      <c r="E11" s="13" t="n"/>
      <c r="F11" s="9" t="n"/>
      <c r="G11" s="9" t="n"/>
      <c r="H11" s="10">
        <f>IF(A11="","",IF(OR(F11="",G11=""),0,F11*G11/100))</f>
        <v/>
      </c>
      <c r="I11" s="9" t="n"/>
      <c r="J11" s="9" t="n"/>
      <c r="K11" s="10">
        <f>IF(A11="","",IF(I11="",0,I11)-IF(J11="",0,J11))</f>
        <v/>
      </c>
      <c r="L11" s="10">
        <f>IF(A11="","",IF((IF(J11="",0,J11)+H11)&gt;=IF(C11="",0,C11),"KEEP","REVIEW"))</f>
        <v/>
      </c>
      <c r="M11" s="9" t="n"/>
      <c r="N11" s="8" t="n"/>
    </row>
    <row r="12">
      <c r="A12" s="8" t="n"/>
      <c r="B12" s="9" t="n"/>
      <c r="C12" s="9" t="n"/>
      <c r="D12" s="9" t="n"/>
      <c r="E12" s="13" t="n"/>
      <c r="F12" s="9" t="n"/>
      <c r="G12" s="9" t="n"/>
      <c r="H12" s="10">
        <f>IF(A12="","",IF(OR(F12="",G12=""),0,F12*G12/100))</f>
        <v/>
      </c>
      <c r="I12" s="9" t="n"/>
      <c r="J12" s="9" t="n"/>
      <c r="K12" s="10">
        <f>IF(A12="","",IF(I12="",0,I12)-IF(J12="",0,J12))</f>
        <v/>
      </c>
      <c r="L12" s="10">
        <f>IF(A12="","",IF((IF(J12="",0,J12)+H12)&gt;=IF(C12="",0,C12),"KEEP","REVIEW"))</f>
        <v/>
      </c>
      <c r="M12" s="9" t="n"/>
      <c r="N12" s="8" t="n"/>
    </row>
    <row r="13">
      <c r="A13" s="8" t="n"/>
      <c r="B13" s="9" t="n"/>
      <c r="C13" s="9" t="n"/>
      <c r="D13" s="9" t="n"/>
      <c r="E13" s="13" t="n"/>
      <c r="F13" s="9" t="n"/>
      <c r="G13" s="9" t="n"/>
      <c r="H13" s="10">
        <f>IF(A13="","",IF(OR(F13="",G13=""),0,F13*G13/100))</f>
        <v/>
      </c>
      <c r="I13" s="9" t="n"/>
      <c r="J13" s="9" t="n"/>
      <c r="K13" s="10">
        <f>IF(A13="","",IF(I13="",0,I13)-IF(J13="",0,J13))</f>
        <v/>
      </c>
      <c r="L13" s="10">
        <f>IF(A13="","",IF((IF(J13="",0,J13)+H13)&gt;=IF(C13="",0,C13),"KEEP","REVIEW"))</f>
        <v/>
      </c>
      <c r="M13" s="9" t="n"/>
      <c r="N13" s="8" t="n"/>
    </row>
    <row r="14">
      <c r="A14" s="8" t="n"/>
      <c r="B14" s="9" t="n"/>
      <c r="C14" s="9" t="n"/>
      <c r="D14" s="9" t="n"/>
      <c r="E14" s="13" t="n"/>
      <c r="F14" s="9" t="n"/>
      <c r="G14" s="9" t="n"/>
      <c r="H14" s="10">
        <f>IF(A14="","",IF(OR(F14="",G14=""),0,F14*G14/100))</f>
        <v/>
      </c>
      <c r="I14" s="9" t="n"/>
      <c r="J14" s="9" t="n"/>
      <c r="K14" s="10">
        <f>IF(A14="","",IF(I14="",0,I14)-IF(J14="",0,J14))</f>
        <v/>
      </c>
      <c r="L14" s="10">
        <f>IF(A14="","",IF((IF(J14="",0,J14)+H14)&gt;=IF(C14="",0,C14),"KEEP","REVIEW"))</f>
        <v/>
      </c>
      <c r="M14" s="9" t="n"/>
      <c r="N14" s="8" t="n"/>
    </row>
    <row r="15">
      <c r="A15" s="8" t="n"/>
      <c r="B15" s="9" t="n"/>
      <c r="C15" s="9" t="n"/>
      <c r="D15" s="9" t="n"/>
      <c r="E15" s="13" t="n"/>
      <c r="F15" s="9" t="n"/>
      <c r="G15" s="9" t="n"/>
      <c r="H15" s="10">
        <f>IF(A15="","",IF(OR(F15="",G15=""),0,F15*G15/100))</f>
        <v/>
      </c>
      <c r="I15" s="9" t="n"/>
      <c r="J15" s="9" t="n"/>
      <c r="K15" s="10">
        <f>IF(A15="","",IF(I15="",0,I15)-IF(J15="",0,J15))</f>
        <v/>
      </c>
      <c r="L15" s="10">
        <f>IF(A15="","",IF((IF(J15="",0,J15)+H15)&gt;=IF(C15="",0,C15),"KEEP","REVIEW"))</f>
        <v/>
      </c>
      <c r="M15" s="9" t="n"/>
      <c r="N15" s="8" t="n"/>
    </row>
    <row r="16">
      <c r="A16" s="8" t="n"/>
      <c r="B16" s="9" t="n"/>
      <c r="C16" s="9" t="n"/>
      <c r="D16" s="9" t="n"/>
      <c r="E16" s="13" t="n"/>
      <c r="F16" s="9" t="n"/>
      <c r="G16" s="9" t="n"/>
      <c r="H16" s="10">
        <f>IF(A16="","",IF(OR(F16="",G16=""),0,F16*G16/100))</f>
        <v/>
      </c>
      <c r="I16" s="9" t="n"/>
      <c r="J16" s="9" t="n"/>
      <c r="K16" s="10">
        <f>IF(A16="","",IF(I16="",0,I16)-IF(J16="",0,J16))</f>
        <v/>
      </c>
      <c r="L16" s="10">
        <f>IF(A16="","",IF((IF(J16="",0,J16)+H16)&gt;=IF(C16="",0,C16),"KEEP","REVIEW"))</f>
        <v/>
      </c>
      <c r="M16" s="9" t="n"/>
      <c r="N16" s="8" t="n"/>
    </row>
    <row r="17">
      <c r="A17" s="8" t="n"/>
      <c r="B17" s="9" t="n"/>
      <c r="C17" s="9" t="n"/>
      <c r="D17" s="9" t="n"/>
      <c r="E17" s="13" t="n"/>
      <c r="F17" s="9" t="n"/>
      <c r="G17" s="9" t="n"/>
      <c r="H17" s="10">
        <f>IF(A17="","",IF(OR(F17="",G17=""),0,F17*G17/100))</f>
        <v/>
      </c>
      <c r="I17" s="9" t="n"/>
      <c r="J17" s="9" t="n"/>
      <c r="K17" s="10">
        <f>IF(A17="","",IF(I17="",0,I17)-IF(J17="",0,J17))</f>
        <v/>
      </c>
      <c r="L17" s="10">
        <f>IF(A17="","",IF((IF(J17="",0,J17)+H17)&gt;=IF(C17="",0,C17),"KEEP","REVIEW"))</f>
        <v/>
      </c>
      <c r="M17" s="9" t="n"/>
      <c r="N17" s="8" t="n"/>
    </row>
    <row r="18">
      <c r="A18" s="8" t="n"/>
      <c r="B18" s="9" t="n"/>
      <c r="C18" s="9" t="n"/>
      <c r="D18" s="9" t="n"/>
      <c r="E18" s="13" t="n"/>
      <c r="F18" s="9" t="n"/>
      <c r="G18" s="9" t="n"/>
      <c r="H18" s="10">
        <f>IF(A18="","",IF(OR(F18="",G18=""),0,F18*G18/100))</f>
        <v/>
      </c>
      <c r="I18" s="9" t="n"/>
      <c r="J18" s="9" t="n"/>
      <c r="K18" s="10">
        <f>IF(A18="","",IF(I18="",0,I18)-IF(J18="",0,J18))</f>
        <v/>
      </c>
      <c r="L18" s="10">
        <f>IF(A18="","",IF((IF(J18="",0,J18)+H18)&gt;=IF(C18="",0,C18),"KEEP","REVIEW"))</f>
        <v/>
      </c>
      <c r="M18" s="9" t="n"/>
      <c r="N18" s="8" t="n"/>
    </row>
    <row r="19">
      <c r="A19" s="8" t="n"/>
      <c r="B19" s="9" t="n"/>
      <c r="C19" s="9" t="n"/>
      <c r="D19" s="9" t="n"/>
      <c r="E19" s="13" t="n"/>
      <c r="F19" s="9" t="n"/>
      <c r="G19" s="9" t="n"/>
      <c r="H19" s="10">
        <f>IF(A19="","",IF(OR(F19="",G19=""),0,F19*G19/100))</f>
        <v/>
      </c>
      <c r="I19" s="9" t="n"/>
      <c r="J19" s="9" t="n"/>
      <c r="K19" s="10">
        <f>IF(A19="","",IF(I19="",0,I19)-IF(J19="",0,J19))</f>
        <v/>
      </c>
      <c r="L19" s="10">
        <f>IF(A19="","",IF((IF(J19="",0,J19)+H19)&gt;=IF(C19="",0,C19),"KEEP","REVIEW"))</f>
        <v/>
      </c>
      <c r="M19" s="9" t="n"/>
      <c r="N19" s="8" t="n"/>
    </row>
    <row r="20">
      <c r="A20" s="8" t="n"/>
      <c r="B20" s="9" t="n"/>
      <c r="C20" s="9" t="n"/>
      <c r="D20" s="9" t="n"/>
      <c r="E20" s="13" t="n"/>
      <c r="F20" s="9" t="n"/>
      <c r="G20" s="9" t="n"/>
      <c r="H20" s="10">
        <f>IF(A20="","",IF(OR(F20="",G20=""),0,F20*G20/100))</f>
        <v/>
      </c>
      <c r="I20" s="9" t="n"/>
      <c r="J20" s="9" t="n"/>
      <c r="K20" s="10">
        <f>IF(A20="","",IF(I20="",0,I20)-IF(J20="",0,J20))</f>
        <v/>
      </c>
      <c r="L20" s="10">
        <f>IF(A20="","",IF((IF(J20="",0,J20)+H20)&gt;=IF(C20="",0,C20),"KEEP","REVIEW"))</f>
        <v/>
      </c>
      <c r="M20" s="9" t="n"/>
      <c r="N20" s="8" t="n"/>
    </row>
    <row r="21">
      <c r="A21" s="8" t="n"/>
      <c r="B21" s="9" t="n"/>
      <c r="C21" s="9" t="n"/>
      <c r="D21" s="9" t="n"/>
      <c r="E21" s="13" t="n"/>
      <c r="F21" s="9" t="n"/>
      <c r="G21" s="9" t="n"/>
      <c r="H21" s="10">
        <f>IF(A21="","",IF(OR(F21="",G21=""),0,F21*G21/100))</f>
        <v/>
      </c>
      <c r="I21" s="9" t="n"/>
      <c r="J21" s="9" t="n"/>
      <c r="K21" s="10">
        <f>IF(A21="","",IF(I21="",0,I21)-IF(J21="",0,J21))</f>
        <v/>
      </c>
      <c r="L21" s="10">
        <f>IF(A21="","",IF((IF(J21="",0,J21)+H21)&gt;=IF(C21="",0,C21),"KEEP","REVIEW"))</f>
        <v/>
      </c>
      <c r="M21" s="9" t="n"/>
      <c r="N21" s="8" t="n"/>
    </row>
    <row r="22">
      <c r="A22" s="8" t="n"/>
      <c r="B22" s="9" t="n"/>
      <c r="C22" s="9" t="n"/>
      <c r="D22" s="9" t="n"/>
      <c r="E22" s="13" t="n"/>
      <c r="F22" s="9" t="n"/>
      <c r="G22" s="9" t="n"/>
      <c r="H22" s="10">
        <f>IF(A22="","",IF(OR(F22="",G22=""),0,F22*G22/100))</f>
        <v/>
      </c>
      <c r="I22" s="9" t="n"/>
      <c r="J22" s="9" t="n"/>
      <c r="K22" s="10">
        <f>IF(A22="","",IF(I22="",0,I22)-IF(J22="",0,J22))</f>
        <v/>
      </c>
      <c r="L22" s="10">
        <f>IF(A22="","",IF((IF(J22="",0,J22)+H22)&gt;=IF(C22="",0,C22),"KEEP","REVIEW"))</f>
        <v/>
      </c>
      <c r="M22" s="9" t="n"/>
      <c r="N22" s="8" t="n"/>
    </row>
    <row r="23">
      <c r="A23" s="8" t="n"/>
      <c r="B23" s="9" t="n"/>
      <c r="C23" s="9" t="n"/>
      <c r="D23" s="9" t="n"/>
      <c r="E23" s="13" t="n"/>
      <c r="F23" s="9" t="n"/>
      <c r="G23" s="9" t="n"/>
      <c r="H23" s="10">
        <f>IF(A23="","",IF(OR(F23="",G23=""),0,F23*G23/100))</f>
        <v/>
      </c>
      <c r="I23" s="9" t="n"/>
      <c r="J23" s="9" t="n"/>
      <c r="K23" s="10">
        <f>IF(A23="","",IF(I23="",0,I23)-IF(J23="",0,J23))</f>
        <v/>
      </c>
      <c r="L23" s="10">
        <f>IF(A23="","",IF((IF(J23="",0,J23)+H23)&gt;=IF(C23="",0,C23),"KEEP","REVIEW"))</f>
        <v/>
      </c>
      <c r="M23" s="9" t="n"/>
      <c r="N23" s="8" t="n"/>
    </row>
    <row r="24">
      <c r="A24" s="8" t="n"/>
      <c r="B24" s="9" t="n"/>
      <c r="C24" s="9" t="n"/>
      <c r="D24" s="9" t="n"/>
      <c r="E24" s="13" t="n"/>
      <c r="F24" s="9" t="n"/>
      <c r="G24" s="9" t="n"/>
      <c r="H24" s="10">
        <f>IF(A24="","",IF(OR(F24="",G24=""),0,F24*G24/100))</f>
        <v/>
      </c>
      <c r="I24" s="9" t="n"/>
      <c r="J24" s="9" t="n"/>
      <c r="K24" s="10">
        <f>IF(A24="","",IF(I24="",0,I24)-IF(J24="",0,J24))</f>
        <v/>
      </c>
      <c r="L24" s="10">
        <f>IF(A24="","",IF((IF(J24="",0,J24)+H24)&gt;=IF(C24="",0,C24),"KEEP","REVIEW"))</f>
        <v/>
      </c>
      <c r="M24" s="9" t="n"/>
      <c r="N24" s="8" t="n"/>
    </row>
    <row r="25">
      <c r="A25" s="8" t="n"/>
      <c r="B25" s="9" t="n"/>
      <c r="C25" s="9" t="n"/>
      <c r="D25" s="9" t="n"/>
      <c r="E25" s="13" t="n"/>
      <c r="F25" s="9" t="n"/>
      <c r="G25" s="9" t="n"/>
      <c r="H25" s="10">
        <f>IF(A25="","",IF(OR(F25="",G25=""),0,F25*G25/100))</f>
        <v/>
      </c>
      <c r="I25" s="9" t="n"/>
      <c r="J25" s="9" t="n"/>
      <c r="K25" s="10">
        <f>IF(A25="","",IF(I25="",0,I25)-IF(J25="",0,J25))</f>
        <v/>
      </c>
      <c r="L25" s="10">
        <f>IF(A25="","",IF((IF(J25="",0,J25)+H25)&gt;=IF(C25="",0,C25),"KEEP","REVIEW"))</f>
        <v/>
      </c>
      <c r="M25" s="9" t="n"/>
      <c r="N25" s="8" t="n"/>
    </row>
    <row r="26">
      <c r="A26" s="8" t="n"/>
      <c r="B26" s="9" t="n"/>
      <c r="C26" s="9" t="n"/>
      <c r="D26" s="9" t="n"/>
      <c r="E26" s="13" t="n"/>
      <c r="F26" s="9" t="n"/>
      <c r="G26" s="9" t="n"/>
      <c r="H26" s="10">
        <f>IF(A26="","",IF(OR(F26="",G26=""),0,F26*G26/100))</f>
        <v/>
      </c>
      <c r="I26" s="9" t="n"/>
      <c r="J26" s="9" t="n"/>
      <c r="K26" s="10">
        <f>IF(A26="","",IF(I26="",0,I26)-IF(J26="",0,J26))</f>
        <v/>
      </c>
      <c r="L26" s="10">
        <f>IF(A26="","",IF((IF(J26="",0,J26)+H26)&gt;=IF(C26="",0,C26),"KEEP","REVIEW"))</f>
        <v/>
      </c>
      <c r="M26" s="9" t="n"/>
      <c r="N26" s="8" t="n"/>
    </row>
    <row r="27">
      <c r="A27" s="8" t="n"/>
      <c r="B27" s="9" t="n"/>
      <c r="C27" s="9" t="n"/>
      <c r="D27" s="9" t="n"/>
      <c r="E27" s="13" t="n"/>
      <c r="F27" s="9" t="n"/>
      <c r="G27" s="9" t="n"/>
      <c r="H27" s="10">
        <f>IF(A27="","",IF(OR(F27="",G27=""),0,F27*G27/100))</f>
        <v/>
      </c>
      <c r="I27" s="9" t="n"/>
      <c r="J27" s="9" t="n"/>
      <c r="K27" s="10">
        <f>IF(A27="","",IF(I27="",0,I27)-IF(J27="",0,J27))</f>
        <v/>
      </c>
      <c r="L27" s="10">
        <f>IF(A27="","",IF((IF(J27="",0,J27)+H27)&gt;=IF(C27="",0,C27),"KEEP","REVIEW"))</f>
        <v/>
      </c>
      <c r="M27" s="9" t="n"/>
      <c r="N27" s="8" t="n"/>
    </row>
    <row r="28">
      <c r="A28" s="8" t="n"/>
      <c r="B28" s="9" t="n"/>
      <c r="C28" s="9" t="n"/>
      <c r="D28" s="9" t="n"/>
      <c r="E28" s="13" t="n"/>
      <c r="F28" s="9" t="n"/>
      <c r="G28" s="9" t="n"/>
      <c r="H28" s="10">
        <f>IF(A28="","",IF(OR(F28="",G28=""),0,F28*G28/100))</f>
        <v/>
      </c>
      <c r="I28" s="9" t="n"/>
      <c r="J28" s="9" t="n"/>
      <c r="K28" s="10">
        <f>IF(A28="","",IF(I28="",0,I28)-IF(J28="",0,J28))</f>
        <v/>
      </c>
      <c r="L28" s="10">
        <f>IF(A28="","",IF((IF(J28="",0,J28)+H28)&gt;=IF(C28="",0,C28),"KEEP","REVIEW"))</f>
        <v/>
      </c>
      <c r="M28" s="9" t="n"/>
      <c r="N28" s="8" t="n"/>
    </row>
    <row r="29">
      <c r="A29" s="8" t="n"/>
      <c r="B29" s="9" t="n"/>
      <c r="C29" s="9" t="n"/>
      <c r="D29" s="9" t="n"/>
      <c r="E29" s="13" t="n"/>
      <c r="F29" s="9" t="n"/>
      <c r="G29" s="9" t="n"/>
      <c r="H29" s="10">
        <f>IF(A29="","",IF(OR(F29="",G29=""),0,F29*G29/100))</f>
        <v/>
      </c>
      <c r="I29" s="9" t="n"/>
      <c r="J29" s="9" t="n"/>
      <c r="K29" s="10">
        <f>IF(A29="","",IF(I29="",0,I29)-IF(J29="",0,J29))</f>
        <v/>
      </c>
      <c r="L29" s="10">
        <f>IF(A29="","",IF((IF(J29="",0,J29)+H29)&gt;=IF(C29="",0,C29),"KEEP","REVIEW"))</f>
        <v/>
      </c>
      <c r="M29" s="9" t="n"/>
      <c r="N29" s="8" t="n"/>
    </row>
    <row r="30">
      <c r="A30" s="8" t="n"/>
      <c r="B30" s="9" t="n"/>
      <c r="C30" s="9" t="n"/>
      <c r="D30" s="9" t="n"/>
      <c r="E30" s="13" t="n"/>
      <c r="F30" s="9" t="n"/>
      <c r="G30" s="9" t="n"/>
      <c r="H30" s="10">
        <f>IF(A30="","",IF(OR(F30="",G30=""),0,F30*G30/100))</f>
        <v/>
      </c>
      <c r="I30" s="9" t="n"/>
      <c r="J30" s="9" t="n"/>
      <c r="K30" s="10">
        <f>IF(A30="","",IF(I30="",0,I30)-IF(J30="",0,J30))</f>
        <v/>
      </c>
      <c r="L30" s="10">
        <f>IF(A30="","",IF((IF(J30="",0,J30)+H30)&gt;=IF(C30="",0,C30),"KEEP","REVIEW"))</f>
        <v/>
      </c>
      <c r="M30" s="9" t="n"/>
      <c r="N30" s="8" t="n"/>
    </row>
    <row r="32">
      <c r="A32" s="11" t="inlineStr">
        <is>
          <t>Total annual fees:</t>
        </is>
      </c>
      <c r="D32" s="12">
        <f>SUMIF(A6:A30,"&lt;&gt;",C6:C30)</f>
        <v/>
      </c>
    </row>
    <row r="33">
      <c r="A33" s="11" t="inlineStr">
        <is>
          <t>Total points value:</t>
        </is>
      </c>
      <c r="D33" s="12">
        <f>SUM(H6:H30)</f>
        <v/>
      </c>
    </row>
    <row r="34">
      <c r="A34" s="11" t="inlineStr">
        <is>
          <t>Total credits left on the table:</t>
        </is>
      </c>
      <c r="D34" s="12">
        <f>SUM(K6:K30)</f>
        <v/>
      </c>
    </row>
    <row r="35">
      <c r="A35" s="11" t="inlineStr">
        <is>
          <t>Your 5/24 count (cards opened last 24 mo):</t>
        </is>
      </c>
      <c r="D35" s="12">
        <f>COUNTIFS(E6:E30,"&gt;="&amp;EDATE(TODAY(),-24),E6:E30,"&lt;="&amp;TODAY())</f>
        <v/>
      </c>
    </row>
  </sheetData>
  <mergeCells count="7">
    <mergeCell ref="A3:N3"/>
    <mergeCell ref="A33:C33"/>
    <mergeCell ref="A32:C32"/>
    <mergeCell ref="A2:N2"/>
    <mergeCell ref="A34:C34"/>
    <mergeCell ref="A35:C35"/>
    <mergeCell ref="A1:N1"/>
  </mergeCells>
  <conditionalFormatting sqref="L6:L30">
    <cfRule type="cellIs" priority="1" operator="equal" dxfId="0">
      <formula>"KEEP"</formula>
    </cfRule>
    <cfRule type="cellIs" priority="2" operator="equal" dxfId="1">
      <formula>"REVIEW"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2026-07-21T14:08:31Z</dcterms:created>
  <dcterms:modified xmlns:dcterms="http://purl.org/dc/terms/" xmlns:xsi="http://www.w3.org/2001/XMLSchema-instance" xsi:type="dcterms:W3CDTF">2026-07-21T14:09:02Z</dcterms:modified>
</cp:coreProperties>
</file>