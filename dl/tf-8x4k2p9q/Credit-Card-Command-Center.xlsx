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8_{4B254497-C043-304C-9E89-B9DF606130D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ead Me" sheetId="1" r:id="rId1"/>
    <sheet name="Summary" sheetId="2" r:id="rId2"/>
    <sheet name="Cards" sheetId="3" r:id="rId3"/>
  </sheets>
  <definedNames>
    <definedName name="_xlnm.Print_Area" localSheetId="2">Cards!$A$1:$N$35</definedName>
    <definedName name="_xlnm.Print_Area" localSheetId="0">'Read Me'!$A$1:$B$18</definedName>
    <definedName name="_xlnm.Print_Area" localSheetId="1">Summary!$A$1:$D$33</definedName>
    <definedName name="_xlnm.Print_Titles" localSheetId="2">Cards!$5:$5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  <c r="C13" i="2" s="1"/>
  <c r="D32" i="3"/>
  <c r="L30" i="3"/>
  <c r="K30" i="3"/>
  <c r="H30" i="3"/>
  <c r="L29" i="3"/>
  <c r="K29" i="3"/>
  <c r="H29" i="3"/>
  <c r="L28" i="3"/>
  <c r="K28" i="3"/>
  <c r="H28" i="3"/>
  <c r="L27" i="3"/>
  <c r="K27" i="3"/>
  <c r="H27" i="3"/>
  <c r="L26" i="3"/>
  <c r="K26" i="3"/>
  <c r="H26" i="3"/>
  <c r="L25" i="3"/>
  <c r="K25" i="3"/>
  <c r="H25" i="3"/>
  <c r="L24" i="3"/>
  <c r="K24" i="3"/>
  <c r="H24" i="3"/>
  <c r="L23" i="3"/>
  <c r="K23" i="3"/>
  <c r="H23" i="3"/>
  <c r="L22" i="3"/>
  <c r="K22" i="3"/>
  <c r="H22" i="3"/>
  <c r="L21" i="3"/>
  <c r="K21" i="3"/>
  <c r="H21" i="3"/>
  <c r="L20" i="3"/>
  <c r="K20" i="3"/>
  <c r="H20" i="3"/>
  <c r="L19" i="3"/>
  <c r="K19" i="3"/>
  <c r="H19" i="3"/>
  <c r="L18" i="3"/>
  <c r="K18" i="3"/>
  <c r="H18" i="3"/>
  <c r="L17" i="3"/>
  <c r="K17" i="3"/>
  <c r="H17" i="3"/>
  <c r="L16" i="3"/>
  <c r="K16" i="3"/>
  <c r="H16" i="3"/>
  <c r="L15" i="3"/>
  <c r="K15" i="3"/>
  <c r="H15" i="3"/>
  <c r="L14" i="3"/>
  <c r="K14" i="3"/>
  <c r="H14" i="3"/>
  <c r="L13" i="3"/>
  <c r="K13" i="3"/>
  <c r="H13" i="3"/>
  <c r="L12" i="3"/>
  <c r="K12" i="3"/>
  <c r="H12" i="3"/>
  <c r="L11" i="3"/>
  <c r="K11" i="3"/>
  <c r="H11" i="3"/>
  <c r="L10" i="3"/>
  <c r="K10" i="3"/>
  <c r="H10" i="3"/>
  <c r="L9" i="3"/>
  <c r="K9" i="3"/>
  <c r="H9" i="3"/>
  <c r="L8" i="3"/>
  <c r="K8" i="3"/>
  <c r="H8" i="3"/>
  <c r="L7" i="3"/>
  <c r="K7" i="3"/>
  <c r="H7" i="3"/>
  <c r="L6" i="3"/>
  <c r="K6" i="3"/>
  <c r="H6" i="3"/>
  <c r="C12" i="2"/>
  <c r="C11" i="2"/>
  <c r="C6" i="2"/>
  <c r="C5" i="2"/>
  <c r="C7" i="2" l="1"/>
  <c r="D34" i="3"/>
  <c r="C10" i="2"/>
  <c r="C8" i="2"/>
  <c r="C9" i="2"/>
  <c r="D33" i="3"/>
</calcChain>
</file>

<file path=xl/sharedStrings.xml><?xml version="1.0" encoding="utf-8"?>
<sst xmlns="http://schemas.openxmlformats.org/spreadsheetml/2006/main" count="62" uniqueCount="59">
  <si>
    <t>How to use this template</t>
  </si>
  <si>
    <t>Start here — 2-minute setup.</t>
  </si>
  <si>
    <t>Travel &amp; Finance  ·  travelfinancetips.com   —   Educational only, not financial advice.</t>
  </si>
  <si>
    <t>Credit Card Command Center</t>
  </si>
  <si>
    <t>One dashboard for every card you hold — fees, credits used vs. left, renewal months, points value, and a rolling 5/24 count.</t>
  </si>
  <si>
    <t>How to use it</t>
  </si>
  <si>
    <t>1. Go to the 'Cards' tab. Replace the 3 sample rows with your own cards (or delete them and start fresh).</t>
  </si>
  <si>
    <t>2. Fill white cells only: card name, issuer, annual fee, the month the fee posts, the date you opened it, your points balance &amp; a rough value per point, and your annual credits (total offered + how much you've used).</t>
  </si>
  <si>
    <t>3. Shaded columns calculate automatically — Est. Value, Credits Left, and a KEEP / REVIEW verdict per card.</t>
  </si>
  <si>
    <t>4. The totals under the table (and the Summary tab) add up your annual fees, points value, unused credits, and your 5/24 count (cards opened in the last 24 months). Most business cards don't count toward 5/24, so leave their Date Opened blank.</t>
  </si>
  <si>
    <t>Reading the verdict</t>
  </si>
  <si>
    <t>KEEP = the credits you actually use already cover the annual fee on their own. REVIEW = they don't, so the card has to earn the rest through spending. Run it through the Annual-Fee ROI Calculator with the points you earned this year (not your whole balance) before the fee posts.</t>
  </si>
  <si>
    <t>Works in Excel, Google Sheets and Numbers. Google Sheets: upload to Drive, then Open with → Google Sheets.</t>
  </si>
  <si>
    <t>Educational only, not financial advice. Need a new card? See travelfinancetips.com.</t>
  </si>
  <si>
    <t>Your Wallet at a Glance</t>
  </si>
  <si>
    <t>Updates as you fill in the Cards tab.</t>
  </si>
  <si>
    <t>Travel &amp; Finance  ·  travelfinancetips.com</t>
  </si>
  <si>
    <t>Cards tracked</t>
  </si>
  <si>
    <t>Total annual fees</t>
  </si>
  <si>
    <t>Points value across all cards</t>
  </si>
  <si>
    <t>Credits still unused this year</t>
  </si>
  <si>
    <t>Cards to KEEP</t>
  </si>
  <si>
    <t>Cards to REVIEW</t>
  </si>
  <si>
    <t>Fees due this month</t>
  </si>
  <si>
    <t>Fees due next month</t>
  </si>
  <si>
    <t>Your 5/24 count</t>
  </si>
  <si>
    <t>Unused credits are money left on the table. Use them before the fee posts, or ask about a downgrade.</t>
  </si>
  <si>
    <t>Enter each card once. Shaded columns calculate for you.</t>
  </si>
  <si>
    <t>Card Name</t>
  </si>
  <si>
    <t>Issuer</t>
  </si>
  <si>
    <t>Annual
Fee ($)</t>
  </si>
  <si>
    <t>Fee Due
Month</t>
  </si>
  <si>
    <t>Date
Opened</t>
  </si>
  <si>
    <t>Points
Balance</t>
  </si>
  <si>
    <t>Value
per pt (¢)</t>
  </si>
  <si>
    <t>Est. Points
Value ($)</t>
  </si>
  <si>
    <t>Credits
Offered ($)</t>
  </si>
  <si>
    <t>Credits
Used ($)</t>
  </si>
  <si>
    <t>Credits
Left ($)</t>
  </si>
  <si>
    <t>Keep
Verdict</t>
  </si>
  <si>
    <t>Status</t>
  </si>
  <si>
    <t>Notes</t>
  </si>
  <si>
    <t>Premium Travel (Plat-type)</t>
  </si>
  <si>
    <t>Amex</t>
  </si>
  <si>
    <t>Feb</t>
  </si>
  <si>
    <t>Active</t>
  </si>
  <si>
    <t>Uses airline + hotel credits</t>
  </si>
  <si>
    <t>Everyday 2x (no fee)</t>
  </si>
  <si>
    <t>Citi</t>
  </si>
  <si>
    <t>Base earn card</t>
  </si>
  <si>
    <t>Hotel Free-Night</t>
  </si>
  <si>
    <t>Chase</t>
  </si>
  <si>
    <t>Jun</t>
  </si>
  <si>
    <t>Sock-drawer</t>
  </si>
  <si>
    <t>Free night = $150 credit</t>
  </si>
  <si>
    <t>Total annual fees:</t>
  </si>
  <si>
    <t>Total points value:</t>
  </si>
  <si>
    <t>Total credits left on the table:</t>
  </si>
  <si>
    <t>Your 5/24 count (cards opened last 24 mo):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</si>
</sst>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"/>
    <numFmt numFmtId="166" formatCode="0.0#"/>
  </numFmts>
  <fonts count="14" x14ac:knownFonts="1">
    <font>
      <sz val="11"/>
      <color theme="1"/>
      <name val="Calibri"/>
      <family val="2"/>
      <scheme val="minor"/>
    </font>
    <font>
      <sz val="10"/>
      <color rgb="FF1A1A1A"/>
      <name val="Calibri"/>
      <family val="2"/>
    </font>
    <font>
      <b/>
      <sz val="18"/>
      <color rgb="FFFFFFFF"/>
      <name val="Georgia"/>
      <family val="1"/>
    </font>
    <font>
      <sz val="10"/>
      <color rgb="FFD5DBE7"/>
      <name val="Arial"/>
      <family val="2"/>
    </font>
    <font>
      <b/>
      <sz val="9"/>
      <color rgb="FFC8A24A"/>
      <name val="Arial"/>
      <family val="2"/>
    </font>
    <font>
      <b/>
      <sz val="12"/>
      <color rgb="FF0F1E3D"/>
      <name val="Arial"/>
      <family val="2"/>
    </font>
    <font>
      <sz val="10"/>
      <color rgb="FF1B2333"/>
      <name val="Arial"/>
      <family val="2"/>
    </font>
    <font>
      <i/>
      <sz val="10"/>
      <color rgb="FF6B7A82"/>
      <name val="Arial"/>
      <family val="2"/>
    </font>
    <font>
      <b/>
      <sz val="11"/>
      <color rgb="FF0F1E3D"/>
      <name val="Arial"/>
      <family val="2"/>
    </font>
    <font>
      <b/>
      <sz val="14"/>
      <color rgb="FF0F1E3D"/>
      <name val="Georgia"/>
      <family val="1"/>
    </font>
    <font>
      <i/>
      <sz val="9"/>
      <color rgb="FF5A6B7A"/>
      <name val="Arial"/>
      <family val="2"/>
    </font>
    <font>
      <b/>
      <sz val="10"/>
      <color rgb="FFFFFFFF"/>
      <name val="Arial"/>
      <family val="2"/>
    </font>
    <font>
      <sz val="11"/>
      <color rgb="FF1B2333"/>
      <name val="Arial"/>
      <family val="2"/>
    </font>
    <font>
      <b/>
      <sz val="10"/>
      <color rgb="FF0F1E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4F6FA"/>
      </patternFill>
    </fill>
    <fill>
      <patternFill patternType="solid">
        <fgColor rgb="FF16294F"/>
      </patternFill>
    </fill>
  </fills>
  <borders count="4">
    <border>
      <left/>
      <right/>
      <top/>
      <bottom/>
      <diagonal/>
    </border>
    <border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>
      <left style="thin">
        <color rgb="FFE7EBF2"/>
      </left>
      <right style="thin">
        <color rgb="FFE7EBF2"/>
      </right>
      <top style="thin">
        <color rgb="FFE7EBF2"/>
      </top>
      <bottom style="thin">
        <color rgb="FFE7EBF2"/>
      </bottom>
      <diagonal/>
    </border>
    <border>
      <left style="thin">
        <color rgb="FF16294F"/>
      </left>
      <right style="thin">
        <color rgb="FF16294F"/>
      </right>
      <top style="thin">
        <color rgb="FF16294F"/>
      </top>
      <bottom style="medium">
        <color rgb="FFC8A24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8" fillId="3" borderId="2" xfId="0" applyFont="1" applyFill="1" applyBorder="1" applyAlignment="1">
      <alignment vertical="center"/>
    </xf>
    <xf numFmtId="1" fontId="9" fillId="3" borderId="2" xfId="0" applyNumberFormat="1" applyFont="1" applyFill="1" applyBorder="1" applyAlignment="1">
      <alignment horizontal="right" vertical="center" shrinkToFit="1"/>
    </xf>
    <xf numFmtId="165" fontId="9" fillId="3" borderId="2" xfId="0" applyNumberFormat="1" applyFont="1" applyFill="1" applyBorder="1" applyAlignment="1">
      <alignment horizontal="right" vertical="center" shrinkToFit="1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 indent="1"/>
    </xf>
    <xf numFmtId="0" fontId="0" fillId="0" borderId="0" xfId="0"/>
    <xf numFmtId="0" fontId="3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13" fillId="0" borderId="0" xfId="0" applyFont="1"/>
  </cellXfs>
  <cellStyles count="1">
    <cellStyle name="Normal" xfId="0" builtinId="0"/>
  </cellStyles>
  <dxfs count="3">
    <dxf>
      <font>
        <b/>
        <color rgb="FF9A5B00"/>
      </font>
      <fill>
        <patternFill patternType="solid">
          <fgColor rgb="FFFCE9CE"/>
        </patternFill>
      </fill>
    </dxf>
    <dxf>
      <font>
        <b/>
        <color rgb="FF1B7A3D"/>
      </font>
      <fill>
        <patternFill patternType="solid">
          <fgColor rgb="FFD6F0DD"/>
        </patternFill>
      </fill>
    </dxf>
    <dxf>
      <font>
        <b/>
        <color rgb="FF8A5A00"/>
      </font>
      <fill>
        <patternFill patternType="solid">
          <fgColor rgb="FFFFF1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Annual fee vs credits used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Annual fee</c:v>
          </c:tx>
          <c:spPr>
            <a:solidFill>
              <a:srgbClr val="0F1E3D"/>
            </a:solidFill>
            <a:ln>
              <a:solidFill>
                <a:srgbClr val="0F1E3D"/>
              </a:solidFill>
              <a:prstDash val="solid"/>
            </a:ln>
          </c:spPr>
          <c:invertIfNegative val="1"/>
          <c:cat>
            <c:strRef>
              <c:f>Cards!$A$6:$A$17</c:f>
              <c:strCache>
                <c:ptCount val="3"/>
                <c:pt idx="0">
                  <c:v>Premium Travel (Plat-type)</c:v>
                </c:pt>
                <c:pt idx="1">
                  <c:v>Everyday 2x (no fee)</c:v>
                </c:pt>
                <c:pt idx="2">
                  <c:v>Hotel Free-Night</c:v>
                </c:pt>
              </c:strCache>
            </c:strRef>
          </c:cat>
          <c:val>
            <c:numRef>
              <c:f>Cards!$C$6:$C$17</c:f>
              <c:numCache>
                <c:formatCode>"$"#,##0</c:formatCode>
                <c:ptCount val="12"/>
                <c:pt idx="0">
                  <c:v>895</c:v>
                </c:pt>
                <c:pt idx="2">
                  <c:v>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F1E3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68-0744-8A0E-9A6A27D9A674}"/>
            </c:ext>
          </c:extLst>
        </c:ser>
        <c:ser>
          <c:idx val="1"/>
          <c:order val="1"/>
          <c:tx>
            <c:v>Credits used</c:v>
          </c:tx>
          <c:spPr>
            <a:solidFill>
              <a:srgbClr val="C8A24A"/>
            </a:solidFill>
            <a:ln>
              <a:solidFill>
                <a:srgbClr val="C8A24A"/>
              </a:solidFill>
              <a:prstDash val="solid"/>
            </a:ln>
          </c:spPr>
          <c:invertIfNegative val="1"/>
          <c:cat>
            <c:strRef>
              <c:f>Cards!$A$6:$A$17</c:f>
              <c:strCache>
                <c:ptCount val="3"/>
                <c:pt idx="0">
                  <c:v>Premium Travel (Plat-type)</c:v>
                </c:pt>
                <c:pt idx="1">
                  <c:v>Everyday 2x (no fee)</c:v>
                </c:pt>
                <c:pt idx="2">
                  <c:v>Hotel Free-Night</c:v>
                </c:pt>
              </c:strCache>
            </c:strRef>
          </c:cat>
          <c:val>
            <c:numRef>
              <c:f>Cards!$J$6:$J$17</c:f>
              <c:numCache>
                <c:formatCode>"$"#,##0</c:formatCode>
                <c:ptCount val="12"/>
                <c:pt idx="0">
                  <c:v>600</c:v>
                </c:pt>
                <c:pt idx="1">
                  <c:v>0</c:v>
                </c:pt>
                <c:pt idx="2">
                  <c:v>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8A2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768-0744-8A0E-9A6A27D9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24A"/>
    <pageSetUpPr fitToPage="1"/>
  </sheetPr>
  <dimension ref="A1:F18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3" customWidth="1"/>
    <col min="2" max="2" width="100" customWidth="1"/>
  </cols>
  <sheetData>
    <row r="1" spans="1:6" ht="26" customHeight="1" x14ac:dyDescent="0.2">
      <c r="A1" s="31" t="s">
        <v>0</v>
      </c>
      <c r="B1" s="29"/>
      <c r="C1" s="29"/>
      <c r="D1" s="29"/>
      <c r="E1" s="29"/>
      <c r="F1" s="29"/>
    </row>
    <row r="2" spans="1:6" ht="16" customHeight="1" x14ac:dyDescent="0.2">
      <c r="A2" s="30" t="s">
        <v>1</v>
      </c>
      <c r="B2" s="29"/>
      <c r="C2" s="29"/>
      <c r="D2" s="29"/>
      <c r="E2" s="29"/>
      <c r="F2" s="29"/>
    </row>
    <row r="3" spans="1:6" ht="15" customHeight="1" x14ac:dyDescent="0.2">
      <c r="A3" s="28" t="s">
        <v>2</v>
      </c>
      <c r="B3" s="29"/>
      <c r="C3" s="29"/>
      <c r="D3" s="29"/>
      <c r="E3" s="29"/>
      <c r="F3" s="29"/>
    </row>
    <row r="5" spans="1:6" ht="16" x14ac:dyDescent="0.2">
      <c r="B5" s="8" t="s">
        <v>3</v>
      </c>
    </row>
    <row r="6" spans="1:6" x14ac:dyDescent="0.2">
      <c r="B6" s="9" t="s">
        <v>4</v>
      </c>
    </row>
    <row r="7" spans="1:6" x14ac:dyDescent="0.2">
      <c r="B7" s="1"/>
    </row>
    <row r="8" spans="1:6" ht="16" x14ac:dyDescent="0.2">
      <c r="B8" s="8" t="s">
        <v>5</v>
      </c>
    </row>
    <row r="9" spans="1:6" x14ac:dyDescent="0.2">
      <c r="B9" s="9" t="s">
        <v>6</v>
      </c>
    </row>
    <row r="10" spans="1:6" ht="29" x14ac:dyDescent="0.2">
      <c r="B10" s="9" t="s">
        <v>7</v>
      </c>
    </row>
    <row r="11" spans="1:6" x14ac:dyDescent="0.2">
      <c r="B11" s="9" t="s">
        <v>8</v>
      </c>
    </row>
    <row r="12" spans="1:6" ht="43" x14ac:dyDescent="0.2">
      <c r="B12" s="9" t="s">
        <v>9</v>
      </c>
    </row>
    <row r="13" spans="1:6" x14ac:dyDescent="0.2">
      <c r="B13" s="1"/>
    </row>
    <row r="14" spans="1:6" ht="16" x14ac:dyDescent="0.2">
      <c r="B14" s="8" t="s">
        <v>10</v>
      </c>
    </row>
    <row r="15" spans="1:6" ht="43" x14ac:dyDescent="0.2">
      <c r="B15" s="9" t="s">
        <v>11</v>
      </c>
    </row>
    <row r="16" spans="1:6" x14ac:dyDescent="0.2">
      <c r="B16" s="1"/>
    </row>
    <row r="17" spans="2:2" x14ac:dyDescent="0.2">
      <c r="B17" s="10" t="s">
        <v>12</v>
      </c>
    </row>
    <row r="18" spans="2:2" x14ac:dyDescent="0.2">
      <c r="B18" s="10" t="s">
        <v>13</v>
      </c>
    </row>
  </sheetData>
  <mergeCells count="3">
    <mergeCell ref="A3:F3"/>
    <mergeCell ref="A2:F2"/>
    <mergeCell ref="A1:F1"/>
  </mergeCell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24A"/>
    <pageSetUpPr fitToPage="1"/>
  </sheetPr>
  <dimension ref="A1:D1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3" width="22" customWidth="1"/>
    <col min="4" max="4" width="30" customWidth="1"/>
  </cols>
  <sheetData>
    <row r="1" spans="1:4" ht="26" customHeight="1" x14ac:dyDescent="0.25">
      <c r="A1" s="11" t="s">
        <v>14</v>
      </c>
      <c r="B1" s="11"/>
      <c r="C1" s="11"/>
      <c r="D1" s="11"/>
    </row>
    <row r="2" spans="1:4" x14ac:dyDescent="0.2">
      <c r="A2" s="12" t="s">
        <v>15</v>
      </c>
      <c r="B2" s="12"/>
      <c r="C2" s="12"/>
      <c r="D2" s="12"/>
    </row>
    <row r="3" spans="1:4" x14ac:dyDescent="0.2">
      <c r="A3" s="13" t="s">
        <v>16</v>
      </c>
      <c r="B3" s="13"/>
      <c r="C3" s="13"/>
      <c r="D3" s="13"/>
    </row>
    <row r="5" spans="1:4" ht="24" customHeight="1" x14ac:dyDescent="0.2">
      <c r="B5" s="14" t="s">
        <v>17</v>
      </c>
      <c r="C5" s="15">
        <f>COUNTA(Cards!A6:A30)</f>
        <v>3</v>
      </c>
    </row>
    <row r="6" spans="1:4" ht="24" customHeight="1" x14ac:dyDescent="0.2">
      <c r="B6" s="14" t="s">
        <v>18</v>
      </c>
      <c r="C6" s="16">
        <f>SUM(Cards!C6:C30)</f>
        <v>990</v>
      </c>
    </row>
    <row r="7" spans="1:4" ht="24" customHeight="1" x14ac:dyDescent="0.2">
      <c r="B7" s="14" t="s">
        <v>19</v>
      </c>
      <c r="C7" s="16">
        <f>SUM(Cards!H6:H30)</f>
        <v>1950</v>
      </c>
    </row>
    <row r="8" spans="1:4" ht="24" customHeight="1" x14ac:dyDescent="0.2">
      <c r="B8" s="14" t="s">
        <v>20</v>
      </c>
      <c r="C8" s="16">
        <f>SUM(Cards!K6:K30)</f>
        <v>164</v>
      </c>
    </row>
    <row r="9" spans="1:4" ht="24" customHeight="1" x14ac:dyDescent="0.2">
      <c r="B9" s="14" t="s">
        <v>21</v>
      </c>
      <c r="C9" s="15">
        <f>COUNTIF(Cards!L6:L30,"KEEP")</f>
        <v>2</v>
      </c>
    </row>
    <row r="10" spans="1:4" ht="24" customHeight="1" x14ac:dyDescent="0.2">
      <c r="B10" s="14" t="s">
        <v>22</v>
      </c>
      <c r="C10" s="15">
        <f>COUNTIF(Cards!L6:L30,"REVIEW")</f>
        <v>1</v>
      </c>
    </row>
    <row r="11" spans="1:4" ht="24" customHeight="1" x14ac:dyDescent="0.2">
      <c r="B11" s="14" t="s">
        <v>23</v>
      </c>
      <c r="C11" s="16">
        <f ca="1">SUMIF(Cards!D6:D30,CHOOSE(MONTH(TODAY()),"Jan","Feb","Mar","Apr","May","Jun","Jul","Aug","Sep","Oct","Nov","Dec"),Cards!C6:C30)</f>
        <v>0</v>
      </c>
    </row>
    <row r="12" spans="1:4" ht="24" customHeight="1" x14ac:dyDescent="0.2">
      <c r="B12" s="14" t="s">
        <v>24</v>
      </c>
      <c r="C12" s="16">
        <f ca="1">SUMIF(Cards!D6:D30,CHOOSE(MONTH(EDATE(TODAY(),1)),"Jan","Feb","Mar","Apr","May","Jun","Jul","Aug","Sep","Oct","Nov","Dec"),Cards!C6:C30)</f>
        <v>0</v>
      </c>
    </row>
    <row r="13" spans="1:4" ht="24" customHeight="1" x14ac:dyDescent="0.2">
      <c r="B13" s="14" t="s">
        <v>25</v>
      </c>
      <c r="C13" s="15">
        <f ca="1">Cards!D35</f>
        <v>1</v>
      </c>
    </row>
    <row r="15" spans="1:4" x14ac:dyDescent="0.2">
      <c r="B15" s="17" t="s">
        <v>26</v>
      </c>
    </row>
  </sheetData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294F"/>
    <pageSetUpPr fitToPage="1"/>
  </sheetPr>
  <dimension ref="A1:N35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8" customWidth="1"/>
    <col min="4" max="4" width="9" customWidth="1"/>
    <col min="5" max="5" width="11" customWidth="1"/>
    <col min="6" max="6" width="10" customWidth="1"/>
    <col min="7" max="7" width="8" customWidth="1"/>
    <col min="8" max="8" width="11" customWidth="1"/>
    <col min="9" max="9" width="10" customWidth="1"/>
    <col min="10" max="11" width="9" customWidth="1"/>
    <col min="12" max="13" width="12" customWidth="1"/>
    <col min="14" max="14" width="26" customWidth="1"/>
  </cols>
  <sheetData>
    <row r="1" spans="1:14" ht="26" customHeight="1" x14ac:dyDescent="0.2">
      <c r="A1" s="31" t="s">
        <v>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6" customHeight="1" x14ac:dyDescent="0.2">
      <c r="A2" s="30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customHeight="1" x14ac:dyDescent="0.2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5" spans="1:14" ht="30" customHeight="1" x14ac:dyDescent="0.2">
      <c r="A5" s="18" t="s">
        <v>28</v>
      </c>
      <c r="B5" s="18" t="s">
        <v>29</v>
      </c>
      <c r="C5" s="18" t="s">
        <v>30</v>
      </c>
      <c r="D5" s="18" t="s">
        <v>31</v>
      </c>
      <c r="E5" s="18" t="s">
        <v>32</v>
      </c>
      <c r="F5" s="18" t="s">
        <v>33</v>
      </c>
      <c r="G5" s="18" t="s">
        <v>34</v>
      </c>
      <c r="H5" s="18" t="s">
        <v>35</v>
      </c>
      <c r="I5" s="18" t="s">
        <v>36</v>
      </c>
      <c r="J5" s="18" t="s">
        <v>37</v>
      </c>
      <c r="K5" s="18" t="s">
        <v>38</v>
      </c>
      <c r="L5" s="18" t="s">
        <v>39</v>
      </c>
      <c r="M5" s="18" t="s">
        <v>40</v>
      </c>
      <c r="N5" s="18" t="s">
        <v>41</v>
      </c>
    </row>
    <row r="6" spans="1:14" x14ac:dyDescent="0.2">
      <c r="A6" s="19" t="s">
        <v>42</v>
      </c>
      <c r="B6" s="20" t="s">
        <v>43</v>
      </c>
      <c r="C6" s="21">
        <v>895</v>
      </c>
      <c r="D6" s="20" t="s">
        <v>44</v>
      </c>
      <c r="E6" s="22">
        <v>45361</v>
      </c>
      <c r="F6" s="23">
        <v>120000</v>
      </c>
      <c r="G6" s="24">
        <v>1.1000000000000001</v>
      </c>
      <c r="H6" s="25">
        <f t="shared" ref="H6:H30" si="0">IF(A6="","",IF(OR(F6="",G6=""),0,F6*G6/100))</f>
        <v>1320</v>
      </c>
      <c r="I6" s="21">
        <v>764</v>
      </c>
      <c r="J6" s="21">
        <v>600</v>
      </c>
      <c r="K6" s="25">
        <f t="shared" ref="K6:K30" si="1">IF(A6="","",IF(I6="",0,I6)-IF(J6="",0,J6))</f>
        <v>164</v>
      </c>
      <c r="L6" s="26" t="str">
        <f t="shared" ref="L6:L30" si="2">IF(A6="","",IF(IF(J6="",0,J6)&gt;=IF(C6="",0,C6),"KEEP","REVIEW"))</f>
        <v>REVIEW</v>
      </c>
      <c r="M6" s="20" t="s">
        <v>45</v>
      </c>
      <c r="N6" s="19" t="s">
        <v>46</v>
      </c>
    </row>
    <row r="7" spans="1:14" x14ac:dyDescent="0.2">
      <c r="A7" s="19" t="s">
        <v>47</v>
      </c>
      <c r="B7" s="20" t="s">
        <v>48</v>
      </c>
      <c r="C7" s="5"/>
      <c r="D7" s="3"/>
      <c r="E7" s="22">
        <v>45139</v>
      </c>
      <c r="F7" s="23">
        <v>45000</v>
      </c>
      <c r="G7" s="24">
        <v>1</v>
      </c>
      <c r="H7" s="25">
        <f t="shared" si="0"/>
        <v>450</v>
      </c>
      <c r="I7" s="21">
        <v>0</v>
      </c>
      <c r="J7" s="21">
        <v>0</v>
      </c>
      <c r="K7" s="25">
        <f t="shared" si="1"/>
        <v>0</v>
      </c>
      <c r="L7" s="26" t="str">
        <f t="shared" si="2"/>
        <v>KEEP</v>
      </c>
      <c r="M7" s="20" t="s">
        <v>45</v>
      </c>
      <c r="N7" s="19" t="s">
        <v>49</v>
      </c>
    </row>
    <row r="8" spans="1:14" x14ac:dyDescent="0.2">
      <c r="A8" s="19" t="s">
        <v>50</v>
      </c>
      <c r="B8" s="20" t="s">
        <v>51</v>
      </c>
      <c r="C8" s="21">
        <v>95</v>
      </c>
      <c r="D8" s="20" t="s">
        <v>52</v>
      </c>
      <c r="E8" s="22">
        <v>45672</v>
      </c>
      <c r="F8" s="23">
        <v>30000</v>
      </c>
      <c r="G8" s="24">
        <v>0.6</v>
      </c>
      <c r="H8" s="25">
        <f t="shared" si="0"/>
        <v>180</v>
      </c>
      <c r="I8" s="21">
        <v>150</v>
      </c>
      <c r="J8" s="21">
        <v>150</v>
      </c>
      <c r="K8" s="25">
        <f t="shared" si="1"/>
        <v>0</v>
      </c>
      <c r="L8" s="26" t="str">
        <f t="shared" si="2"/>
        <v>KEEP</v>
      </c>
      <c r="M8" s="20" t="s">
        <v>53</v>
      </c>
      <c r="N8" s="19" t="s">
        <v>54</v>
      </c>
    </row>
    <row r="9" spans="1:14" x14ac:dyDescent="0.2">
      <c r="A9" s="2"/>
      <c r="B9" s="3"/>
      <c r="C9" s="5"/>
      <c r="D9" s="3"/>
      <c r="E9" s="4"/>
      <c r="F9" s="6"/>
      <c r="G9" s="7"/>
      <c r="H9" s="25" t="str">
        <f t="shared" si="0"/>
        <v/>
      </c>
      <c r="I9" s="5"/>
      <c r="J9" s="5"/>
      <c r="K9" s="25" t="str">
        <f t="shared" si="1"/>
        <v/>
      </c>
      <c r="L9" s="26" t="str">
        <f t="shared" si="2"/>
        <v/>
      </c>
      <c r="M9" s="3"/>
      <c r="N9" s="2"/>
    </row>
    <row r="10" spans="1:14" x14ac:dyDescent="0.2">
      <c r="A10" s="2"/>
      <c r="B10" s="3"/>
      <c r="C10" s="5"/>
      <c r="D10" s="3"/>
      <c r="E10" s="4"/>
      <c r="F10" s="6"/>
      <c r="G10" s="7"/>
      <c r="H10" s="25" t="str">
        <f t="shared" si="0"/>
        <v/>
      </c>
      <c r="I10" s="5"/>
      <c r="J10" s="5"/>
      <c r="K10" s="25" t="str">
        <f t="shared" si="1"/>
        <v/>
      </c>
      <c r="L10" s="26" t="str">
        <f t="shared" si="2"/>
        <v/>
      </c>
      <c r="M10" s="3"/>
      <c r="N10" s="2"/>
    </row>
    <row r="11" spans="1:14" x14ac:dyDescent="0.2">
      <c r="A11" s="2"/>
      <c r="B11" s="3"/>
      <c r="C11" s="5"/>
      <c r="D11" s="3"/>
      <c r="E11" s="4"/>
      <c r="F11" s="6"/>
      <c r="G11" s="7"/>
      <c r="H11" s="25" t="str">
        <f t="shared" si="0"/>
        <v/>
      </c>
      <c r="I11" s="5"/>
      <c r="J11" s="5"/>
      <c r="K11" s="25" t="str">
        <f t="shared" si="1"/>
        <v/>
      </c>
      <c r="L11" s="26" t="str">
        <f t="shared" si="2"/>
        <v/>
      </c>
      <c r="M11" s="3"/>
      <c r="N11" s="2"/>
    </row>
    <row r="12" spans="1:14" x14ac:dyDescent="0.2">
      <c r="A12" s="2"/>
      <c r="B12" s="3"/>
      <c r="C12" s="5"/>
      <c r="D12" s="3"/>
      <c r="E12" s="4"/>
      <c r="F12" s="6"/>
      <c r="G12" s="7"/>
      <c r="H12" s="25" t="str">
        <f t="shared" si="0"/>
        <v/>
      </c>
      <c r="I12" s="5"/>
      <c r="J12" s="5"/>
      <c r="K12" s="25" t="str">
        <f t="shared" si="1"/>
        <v/>
      </c>
      <c r="L12" s="26" t="str">
        <f t="shared" si="2"/>
        <v/>
      </c>
      <c r="M12" s="3"/>
      <c r="N12" s="2"/>
    </row>
    <row r="13" spans="1:14" x14ac:dyDescent="0.2">
      <c r="A13" s="2"/>
      <c r="B13" s="3"/>
      <c r="C13" s="5"/>
      <c r="D13" s="3"/>
      <c r="E13" s="4"/>
      <c r="F13" s="6"/>
      <c r="G13" s="7"/>
      <c r="H13" s="25" t="str">
        <f t="shared" si="0"/>
        <v/>
      </c>
      <c r="I13" s="5"/>
      <c r="J13" s="5"/>
      <c r="K13" s="25" t="str">
        <f t="shared" si="1"/>
        <v/>
      </c>
      <c r="L13" s="26" t="str">
        <f t="shared" si="2"/>
        <v/>
      </c>
      <c r="M13" s="3"/>
      <c r="N13" s="2"/>
    </row>
    <row r="14" spans="1:14" x14ac:dyDescent="0.2">
      <c r="A14" s="2"/>
      <c r="B14" s="3"/>
      <c r="C14" s="5"/>
      <c r="D14" s="3"/>
      <c r="E14" s="4"/>
      <c r="F14" s="6"/>
      <c r="G14" s="7"/>
      <c r="H14" s="25" t="str">
        <f t="shared" si="0"/>
        <v/>
      </c>
      <c r="I14" s="5"/>
      <c r="J14" s="5"/>
      <c r="K14" s="25" t="str">
        <f t="shared" si="1"/>
        <v/>
      </c>
      <c r="L14" s="26" t="str">
        <f t="shared" si="2"/>
        <v/>
      </c>
      <c r="M14" s="3"/>
      <c r="N14" s="2"/>
    </row>
    <row r="15" spans="1:14" x14ac:dyDescent="0.2">
      <c r="A15" s="2"/>
      <c r="B15" s="3"/>
      <c r="C15" s="5"/>
      <c r="D15" s="3"/>
      <c r="E15" s="4"/>
      <c r="F15" s="6"/>
      <c r="G15" s="7"/>
      <c r="H15" s="25" t="str">
        <f t="shared" si="0"/>
        <v/>
      </c>
      <c r="I15" s="5"/>
      <c r="J15" s="5"/>
      <c r="K15" s="25" t="str">
        <f t="shared" si="1"/>
        <v/>
      </c>
      <c r="L15" s="26" t="str">
        <f t="shared" si="2"/>
        <v/>
      </c>
      <c r="M15" s="3"/>
      <c r="N15" s="2"/>
    </row>
    <row r="16" spans="1:14" x14ac:dyDescent="0.2">
      <c r="A16" s="2"/>
      <c r="B16" s="3"/>
      <c r="C16" s="5"/>
      <c r="D16" s="3"/>
      <c r="E16" s="4"/>
      <c r="F16" s="6"/>
      <c r="G16" s="7"/>
      <c r="H16" s="25" t="str">
        <f t="shared" si="0"/>
        <v/>
      </c>
      <c r="I16" s="5"/>
      <c r="J16" s="5"/>
      <c r="K16" s="25" t="str">
        <f t="shared" si="1"/>
        <v/>
      </c>
      <c r="L16" s="26" t="str">
        <f t="shared" si="2"/>
        <v/>
      </c>
      <c r="M16" s="3"/>
      <c r="N16" s="2"/>
    </row>
    <row r="17" spans="1:14" x14ac:dyDescent="0.2">
      <c r="A17" s="2"/>
      <c r="B17" s="3"/>
      <c r="C17" s="5"/>
      <c r="D17" s="3"/>
      <c r="E17" s="4"/>
      <c r="F17" s="6"/>
      <c r="G17" s="7"/>
      <c r="H17" s="25" t="str">
        <f t="shared" si="0"/>
        <v/>
      </c>
      <c r="I17" s="5"/>
      <c r="J17" s="5"/>
      <c r="K17" s="25" t="str">
        <f t="shared" si="1"/>
        <v/>
      </c>
      <c r="L17" s="26" t="str">
        <f t="shared" si="2"/>
        <v/>
      </c>
      <c r="M17" s="3"/>
      <c r="N17" s="2"/>
    </row>
    <row r="18" spans="1:14" x14ac:dyDescent="0.2">
      <c r="A18" s="2"/>
      <c r="B18" s="3"/>
      <c r="C18" s="5"/>
      <c r="D18" s="3"/>
      <c r="E18" s="4"/>
      <c r="F18" s="6"/>
      <c r="G18" s="7"/>
      <c r="H18" s="25" t="str">
        <f t="shared" si="0"/>
        <v/>
      </c>
      <c r="I18" s="5"/>
      <c r="J18" s="5"/>
      <c r="K18" s="25" t="str">
        <f t="shared" si="1"/>
        <v/>
      </c>
      <c r="L18" s="26" t="str">
        <f t="shared" si="2"/>
        <v/>
      </c>
      <c r="M18" s="3"/>
      <c r="N18" s="2"/>
    </row>
    <row r="19" spans="1:14" x14ac:dyDescent="0.2">
      <c r="A19" s="2"/>
      <c r="B19" s="3"/>
      <c r="C19" s="5"/>
      <c r="D19" s="3"/>
      <c r="E19" s="4"/>
      <c r="F19" s="6"/>
      <c r="G19" s="7"/>
      <c r="H19" s="25" t="str">
        <f t="shared" si="0"/>
        <v/>
      </c>
      <c r="I19" s="5"/>
      <c r="J19" s="5"/>
      <c r="K19" s="25" t="str">
        <f t="shared" si="1"/>
        <v/>
      </c>
      <c r="L19" s="26" t="str">
        <f t="shared" si="2"/>
        <v/>
      </c>
      <c r="M19" s="3"/>
      <c r="N19" s="2"/>
    </row>
    <row r="20" spans="1:14" x14ac:dyDescent="0.2">
      <c r="A20" s="2"/>
      <c r="B20" s="3"/>
      <c r="C20" s="5"/>
      <c r="D20" s="3"/>
      <c r="E20" s="4"/>
      <c r="F20" s="6"/>
      <c r="G20" s="7"/>
      <c r="H20" s="25" t="str">
        <f t="shared" si="0"/>
        <v/>
      </c>
      <c r="I20" s="5"/>
      <c r="J20" s="5"/>
      <c r="K20" s="25" t="str">
        <f t="shared" si="1"/>
        <v/>
      </c>
      <c r="L20" s="26" t="str">
        <f t="shared" si="2"/>
        <v/>
      </c>
      <c r="M20" s="3"/>
      <c r="N20" s="2"/>
    </row>
    <row r="21" spans="1:14" x14ac:dyDescent="0.2">
      <c r="A21" s="2"/>
      <c r="B21" s="3"/>
      <c r="C21" s="5"/>
      <c r="D21" s="3"/>
      <c r="E21" s="4"/>
      <c r="F21" s="6"/>
      <c r="G21" s="7"/>
      <c r="H21" s="25" t="str">
        <f t="shared" si="0"/>
        <v/>
      </c>
      <c r="I21" s="5"/>
      <c r="J21" s="5"/>
      <c r="K21" s="25" t="str">
        <f t="shared" si="1"/>
        <v/>
      </c>
      <c r="L21" s="26" t="str">
        <f t="shared" si="2"/>
        <v/>
      </c>
      <c r="M21" s="3"/>
      <c r="N21" s="2"/>
    </row>
    <row r="22" spans="1:14" x14ac:dyDescent="0.2">
      <c r="A22" s="2"/>
      <c r="B22" s="3"/>
      <c r="C22" s="5"/>
      <c r="D22" s="3"/>
      <c r="E22" s="4"/>
      <c r="F22" s="6"/>
      <c r="G22" s="7"/>
      <c r="H22" s="25" t="str">
        <f t="shared" si="0"/>
        <v/>
      </c>
      <c r="I22" s="5"/>
      <c r="J22" s="5"/>
      <c r="K22" s="25" t="str">
        <f t="shared" si="1"/>
        <v/>
      </c>
      <c r="L22" s="26" t="str">
        <f t="shared" si="2"/>
        <v/>
      </c>
      <c r="M22" s="3"/>
      <c r="N22" s="2"/>
    </row>
    <row r="23" spans="1:14" x14ac:dyDescent="0.2">
      <c r="A23" s="2"/>
      <c r="B23" s="3"/>
      <c r="C23" s="5"/>
      <c r="D23" s="3"/>
      <c r="E23" s="4"/>
      <c r="F23" s="6"/>
      <c r="G23" s="7"/>
      <c r="H23" s="25" t="str">
        <f t="shared" si="0"/>
        <v/>
      </c>
      <c r="I23" s="5"/>
      <c r="J23" s="5"/>
      <c r="K23" s="25" t="str">
        <f t="shared" si="1"/>
        <v/>
      </c>
      <c r="L23" s="26" t="str">
        <f t="shared" si="2"/>
        <v/>
      </c>
      <c r="M23" s="3"/>
      <c r="N23" s="2"/>
    </row>
    <row r="24" spans="1:14" x14ac:dyDescent="0.2">
      <c r="A24" s="2"/>
      <c r="B24" s="3"/>
      <c r="C24" s="5"/>
      <c r="D24" s="3"/>
      <c r="E24" s="4"/>
      <c r="F24" s="6"/>
      <c r="G24" s="7"/>
      <c r="H24" s="25" t="str">
        <f t="shared" si="0"/>
        <v/>
      </c>
      <c r="I24" s="5"/>
      <c r="J24" s="5"/>
      <c r="K24" s="25" t="str">
        <f t="shared" si="1"/>
        <v/>
      </c>
      <c r="L24" s="26" t="str">
        <f t="shared" si="2"/>
        <v/>
      </c>
      <c r="M24" s="3"/>
      <c r="N24" s="2"/>
    </row>
    <row r="25" spans="1:14" x14ac:dyDescent="0.2">
      <c r="A25" s="2"/>
      <c r="B25" s="3"/>
      <c r="C25" s="5"/>
      <c r="D25" s="3"/>
      <c r="E25" s="4"/>
      <c r="F25" s="6"/>
      <c r="G25" s="7"/>
      <c r="H25" s="25" t="str">
        <f t="shared" si="0"/>
        <v/>
      </c>
      <c r="I25" s="5"/>
      <c r="J25" s="5"/>
      <c r="K25" s="25" t="str">
        <f t="shared" si="1"/>
        <v/>
      </c>
      <c r="L25" s="26" t="str">
        <f t="shared" si="2"/>
        <v/>
      </c>
      <c r="M25" s="3"/>
      <c r="N25" s="2"/>
    </row>
    <row r="26" spans="1:14" x14ac:dyDescent="0.2">
      <c r="A26" s="2"/>
      <c r="B26" s="3"/>
      <c r="C26" s="5"/>
      <c r="D26" s="3"/>
      <c r="E26" s="4"/>
      <c r="F26" s="6"/>
      <c r="G26" s="7"/>
      <c r="H26" s="25" t="str">
        <f t="shared" si="0"/>
        <v/>
      </c>
      <c r="I26" s="5"/>
      <c r="J26" s="5"/>
      <c r="K26" s="25" t="str">
        <f t="shared" si="1"/>
        <v/>
      </c>
      <c r="L26" s="26" t="str">
        <f t="shared" si="2"/>
        <v/>
      </c>
      <c r="M26" s="3"/>
      <c r="N26" s="2"/>
    </row>
    <row r="27" spans="1:14" x14ac:dyDescent="0.2">
      <c r="A27" s="2"/>
      <c r="B27" s="3"/>
      <c r="C27" s="5"/>
      <c r="D27" s="3"/>
      <c r="E27" s="4"/>
      <c r="F27" s="6"/>
      <c r="G27" s="7"/>
      <c r="H27" s="25" t="str">
        <f t="shared" si="0"/>
        <v/>
      </c>
      <c r="I27" s="5"/>
      <c r="J27" s="5"/>
      <c r="K27" s="25" t="str">
        <f t="shared" si="1"/>
        <v/>
      </c>
      <c r="L27" s="26" t="str">
        <f t="shared" si="2"/>
        <v/>
      </c>
      <c r="M27" s="3"/>
      <c r="N27" s="2"/>
    </row>
    <row r="28" spans="1:14" x14ac:dyDescent="0.2">
      <c r="A28" s="2"/>
      <c r="B28" s="3"/>
      <c r="C28" s="5"/>
      <c r="D28" s="3"/>
      <c r="E28" s="4"/>
      <c r="F28" s="6"/>
      <c r="G28" s="7"/>
      <c r="H28" s="25" t="str">
        <f t="shared" si="0"/>
        <v/>
      </c>
      <c r="I28" s="5"/>
      <c r="J28" s="5"/>
      <c r="K28" s="25" t="str">
        <f t="shared" si="1"/>
        <v/>
      </c>
      <c r="L28" s="26" t="str">
        <f t="shared" si="2"/>
        <v/>
      </c>
      <c r="M28" s="3"/>
      <c r="N28" s="2"/>
    </row>
    <row r="29" spans="1:14" x14ac:dyDescent="0.2">
      <c r="A29" s="2"/>
      <c r="B29" s="3"/>
      <c r="C29" s="5"/>
      <c r="D29" s="3"/>
      <c r="E29" s="4"/>
      <c r="F29" s="6"/>
      <c r="G29" s="7"/>
      <c r="H29" s="25" t="str">
        <f t="shared" si="0"/>
        <v/>
      </c>
      <c r="I29" s="5"/>
      <c r="J29" s="5"/>
      <c r="K29" s="25" t="str">
        <f t="shared" si="1"/>
        <v/>
      </c>
      <c r="L29" s="26" t="str">
        <f t="shared" si="2"/>
        <v/>
      </c>
      <c r="M29" s="3"/>
      <c r="N29" s="2"/>
    </row>
    <row r="30" spans="1:14" x14ac:dyDescent="0.2">
      <c r="A30" s="2"/>
      <c r="B30" s="3"/>
      <c r="C30" s="5"/>
      <c r="D30" s="3"/>
      <c r="E30" s="4"/>
      <c r="F30" s="6"/>
      <c r="G30" s="7"/>
      <c r="H30" s="25" t="str">
        <f t="shared" si="0"/>
        <v/>
      </c>
      <c r="I30" s="5"/>
      <c r="J30" s="5"/>
      <c r="K30" s="25" t="str">
        <f t="shared" si="1"/>
        <v/>
      </c>
      <c r="L30" s="26" t="str">
        <f t="shared" si="2"/>
        <v/>
      </c>
      <c r="M30" s="3"/>
      <c r="N30" s="2"/>
    </row>
    <row r="32" spans="1:14" x14ac:dyDescent="0.2">
      <c r="A32" s="32" t="s">
        <v>55</v>
      </c>
      <c r="B32" s="29"/>
      <c r="C32" s="29"/>
      <c r="D32" s="27">
        <f>SUMIF(A6:A30,"&lt;&gt;",C6:C30)</f>
        <v>990</v>
      </c>
    </row>
    <row r="33" spans="1:4" x14ac:dyDescent="0.2">
      <c r="A33" s="32" t="s">
        <v>56</v>
      </c>
      <c r="B33" s="29"/>
      <c r="C33" s="29"/>
      <c r="D33" s="27">
        <f>SUM(H6:H30)</f>
        <v>1950</v>
      </c>
    </row>
    <row r="34" spans="1:4" x14ac:dyDescent="0.2">
      <c r="A34" s="32" t="s">
        <v>57</v>
      </c>
      <c r="B34" s="29"/>
      <c r="C34" s="29"/>
      <c r="D34" s="27">
        <f>SUM(K6:K30)</f>
        <v>164</v>
      </c>
    </row>
    <row r="35" spans="1:4" x14ac:dyDescent="0.2">
      <c r="A35" s="32" t="s">
        <v>58</v>
      </c>
      <c r="B35" s="29"/>
      <c r="C35" s="29"/>
      <c r="D35" s="14">
        <f ca="1">COUNTIFS(E6:E30,"&gt;="&amp;EDATE(TODAY(),-24),E6:E30,"&lt;="&amp;TODAY())</f>
        <v>1</v>
      </c>
    </row>
  </sheetData>
  <mergeCells count="7">
    <mergeCell ref="A35:C35"/>
    <mergeCell ref="A1:N1"/>
    <mergeCell ref="A3:N3"/>
    <mergeCell ref="A33:C33"/>
    <mergeCell ref="A32:C32"/>
    <mergeCell ref="A2:N2"/>
    <mergeCell ref="A34:C34"/>
  </mergeCells>
  <conditionalFormatting sqref="K6:K30">
    <cfRule type="cellIs" dxfId="2" priority="3" operator="greaterThan">
      <formula>0</formula>
    </cfRule>
  </conditionalFormatting>
  <conditionalFormatting sqref="L6:L30">
    <cfRule type="cellIs" dxfId="1" priority="1" operator="equal">
      <formula>"KEEP"</formula>
    </cfRule>
    <cfRule type="cellIs" dxfId="0" priority="2" operator="equal">
      <formula>"REVIEW"</formula>
    </cfRule>
  </conditionalFormatting>
  <dataValidations count="6">
    <dataValidation type="list" allowBlank="1" sqref="B6:B30" xr:uid="{00000000-0002-0000-0200-000000000000}">
      <formula1>"Amex,Chase,Capital One,Citi,Bank of America,Wells Fargo,US Bank,Barclays,Discover,Bilt,Other"</formula1>
    </dataValidation>
    <dataValidation type="list" allowBlank="1" showErrorMessage="1" errorTitle="Month" error="Pick a month from the list." sqref="D6:D30" xr:uid="{00000000-0002-0000-0200-000001000000}">
      <formula1>"Jan,Feb,Mar,Apr,May,Jun,Jul,Aug,Sep,Oct,Nov,Dec"</formula1>
    </dataValidation>
    <dataValidation type="list" allowBlank="1" sqref="M6:M30" xr:uid="{00000000-0002-0000-0200-000002000000}">
      <formula1>"Active,Downgraded,Closed,Applied"</formula1>
    </dataValidation>
    <dataValidation type="decimal" operator="greaterThanOrEqual" allowBlank="1" showErrorMessage="1" errorTitle="Numbers only" error="Enter a dollar amount (0 or more), no $ sign needed." sqref="C6:C30 I6:J30" xr:uid="{00000000-0002-0000-0200-000003000000}">
      <formula1>0</formula1>
    </dataValidation>
    <dataValidation type="whole" operator="greaterThanOrEqual" allowBlank="1" showErrorMessage="1" errorTitle="Points" error="Whole number of points, 0 or more." sqref="F6:F30" xr:uid="{00000000-0002-0000-0200-000005000000}">
      <formula1>0</formula1>
    </dataValidation>
    <dataValidation type="decimal" allowBlank="1" showErrorMessage="1" errorTitle="Cents per point" error="Enter cents per point, e.g. 1 or 1.5." sqref="G6:G30" xr:uid="{00000000-0002-0000-0200-000006000000}">
      <formula1>0</formula1>
      <formula2>10</formula2>
    </dataValidation>
  </dataValidation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Read Me</vt:lpstr>
      <vt:lpstr>Summary</vt:lpstr>
      <vt:lpstr>Cards</vt:lpstr>
      <vt:lpstr>Cards!Print_Area</vt:lpstr>
      <vt:lpstr>'Read Me'!Print_Area</vt:lpstr>
      <vt:lpstr>Summary!Print_Area</vt:lpstr>
      <vt:lpstr>Cards!Print_Titles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&amp; Finance Tips</dc:creator>
  <cp:lastModifiedBy>Travel &amp; Finance Tips</cp:lastModifiedBy>
  <dcterms:created xsi:type="dcterms:W3CDTF">2026-07-21T14:08:31Z</dcterms:created>
  <dcterms:modified xsi:type="dcterms:W3CDTF">2026-09-24T18:08:41Z</dcterms:modified>
</cp:coreProperties>
</file>