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8_{DC4F14FC-D1A6-4446-93A0-B0097D2FA2E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ead Me" sheetId="1" r:id="rId1"/>
    <sheet name="Summary" sheetId="2" r:id="rId2"/>
    <sheet name="Optimizer" sheetId="3" r:id="rId3"/>
  </sheets>
  <definedNames>
    <definedName name="_xlnm.Print_Area" localSheetId="2">Optimizer!$A$1:$K$23</definedName>
    <definedName name="_xlnm.Print_Area" localSheetId="0">'Read Me'!$A$1:$B$15</definedName>
    <definedName name="_xlnm.Print_Area" localSheetId="1">Summary!$A$1:$C$14</definedName>
    <definedName name="_xlnm.Print_Titles" localSheetId="2">Optimizer!$7:$7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I17" i="3"/>
  <c r="J17" i="3" s="1"/>
  <c r="K17" i="3" s="1"/>
  <c r="I16" i="3"/>
  <c r="J16" i="3" s="1"/>
  <c r="K16" i="3" s="1"/>
  <c r="I15" i="3"/>
  <c r="H15" i="3" s="1"/>
  <c r="I14" i="3"/>
  <c r="J14" i="3" s="1"/>
  <c r="K14" i="3" s="1"/>
  <c r="I13" i="3"/>
  <c r="J13" i="3" s="1"/>
  <c r="K13" i="3" s="1"/>
  <c r="I12" i="3"/>
  <c r="J12" i="3" s="1"/>
  <c r="K12" i="3" s="1"/>
  <c r="I11" i="3"/>
  <c r="J11" i="3" s="1"/>
  <c r="K11" i="3" s="1"/>
  <c r="I10" i="3"/>
  <c r="H10" i="3" s="1"/>
  <c r="I9" i="3"/>
  <c r="J9" i="3" s="1"/>
  <c r="K9" i="3" s="1"/>
  <c r="I8" i="3"/>
  <c r="J8" i="3" s="1"/>
  <c r="K8" i="3" s="1"/>
  <c r="H8" i="3"/>
  <c r="B12" i="2"/>
  <c r="B11" i="2"/>
  <c r="B10" i="2"/>
  <c r="B9" i="2"/>
  <c r="B8" i="2"/>
  <c r="C6" i="2"/>
  <c r="H13" i="3" l="1"/>
  <c r="J10" i="3"/>
  <c r="K10" i="3" s="1"/>
  <c r="J15" i="3"/>
  <c r="K15" i="3" s="1"/>
  <c r="H11" i="3"/>
  <c r="H16" i="3"/>
  <c r="H9" i="3"/>
  <c r="H14" i="3"/>
  <c r="H12" i="3"/>
  <c r="H17" i="3"/>
  <c r="K23" i="3" l="1"/>
  <c r="C7" i="2"/>
  <c r="C5" i="2"/>
  <c r="C10" i="2"/>
  <c r="C8" i="2"/>
  <c r="C9" i="2"/>
  <c r="C11" i="2"/>
  <c r="C12" i="2"/>
</calcChain>
</file>

<file path=xl/sharedStrings.xml><?xml version="1.0" encoding="utf-8"?>
<sst xmlns="http://schemas.openxmlformats.org/spreadsheetml/2006/main" count="49" uniqueCount="46">
  <si>
    <t>Rewards Optimizer</t>
  </si>
  <si>
    <t>How to use this template</t>
  </si>
  <si>
    <t>Travel &amp; Finance  ·  travelfinancetips.com</t>
  </si>
  <si>
    <t>What this does</t>
  </si>
  <si>
    <t>Shows you the single best card to use for every spending category, and estimates the annual rewards you're leaving on the table—so you always pull the right card.</t>
  </si>
  <si>
    <t>How to use it (5 minutes)</t>
  </si>
  <si>
    <t>1.  Go to the 'Optimizer' tab. Name your cards in the green header cells (Card 1…Card 5).</t>
  </si>
  <si>
    <t>2.  For each spend category, enter each card's earn multiplier (e.g. 3 for 3x/3%).</t>
  </si>
  <si>
    <t>3.  Enter your typical MONTHLY spend per category in column B.</t>
  </si>
  <si>
    <t>4.  Set a default point value in the yellow cell (cash back = 1.0), then put each card's own value in row 6 (e.g. 1.5 for a transferable-points card). Leave a card blank to use the default. The sheet picks the Best Card by what each dollar is actually worth, not the raw multiplier.</t>
  </si>
  <si>
    <t>Cents-per-point: cashback = 1.0. Transferable points redeemed for travel are often 1.5–2.0. Use a conservative number you can actually achieve.</t>
  </si>
  <si>
    <t>Read the results</t>
  </si>
  <si>
    <t>'Best Card' = which card to swipe for that category, judged by multiplier × that card's point value. 'Annual $ Value' = what that category earns you per year at your spend.</t>
  </si>
  <si>
    <t>Educational tool, not financial advice. Multipliers change—verify current earn rates. © Travel &amp; Finance · travelfinancetips.com</t>
  </si>
  <si>
    <t>Which Card for What</t>
  </si>
  <si>
    <t>Updates as you fill in the Optimizer tab.</t>
  </si>
  <si>
    <t>Estimated rewards per year</t>
  </si>
  <si>
    <t>Monthly spend entered</t>
  </si>
  <si>
    <t>Effective return on spend</t>
  </si>
  <si>
    <t>Rename Card 1-5 on the Optimizer tab and these rows follow. Green = the card to use for that category.</t>
  </si>
  <si>
    <t>Always know the best card for every dollar you spend.</t>
  </si>
  <si>
    <t>Default point value (¢ per point):</t>
  </si>
  <si>
    <t>← used for any card left blank in row 6. Cash back = 1.0</t>
  </si>
  <si>
    <t>This card's point value (¢):</t>
  </si>
  <si>
    <t>Spend Category</t>
  </si>
  <si>
    <t>Monthly
Spend $</t>
  </si>
  <si>
    <t>Card 1</t>
  </si>
  <si>
    <t>Card 2</t>
  </si>
  <si>
    <t>Card 3</t>
  </si>
  <si>
    <t>Card 4</t>
  </si>
  <si>
    <t>Card 5</t>
  </si>
  <si>
    <t>Best Card</t>
  </si>
  <si>
    <t>Best ¢
per $1</t>
  </si>
  <si>
    <t>Monthly
Value $</t>
  </si>
  <si>
    <t>Annual $
Value</t>
  </si>
  <si>
    <t>Dining / Restaurants</t>
  </si>
  <si>
    <t>Groceries (US supermarkets)</t>
  </si>
  <si>
    <t>Gas / EV charging</t>
  </si>
  <si>
    <t>Flights (booked direct)</t>
  </si>
  <si>
    <t>Hotels / Lodging</t>
  </si>
  <si>
    <t>Travel via portal</t>
  </si>
  <si>
    <t>Transit / Rideshare</t>
  </si>
  <si>
    <t>Online retail</t>
  </si>
  <si>
    <t>Streaming / Subscriptions</t>
  </si>
  <si>
    <t>Everything else</t>
  </si>
  <si>
    <t>ESTIMATED ANNUAL REWARDS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</si>
</sst>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&quot;¢&quot;"/>
    <numFmt numFmtId="165" formatCode="\$#,##0"/>
    <numFmt numFmtId="166" formatCode="0.0&quot;x&quot;"/>
    <numFmt numFmtId="167" formatCode="&quot;$&quot;#,##0"/>
    <numFmt numFmtId="168" formatCode="0.0%"/>
    <numFmt numFmtId="169" formatCode="0.0#"/>
  </numFmts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Georgia"/>
      <family val="1"/>
    </font>
    <font>
      <sz val="10"/>
      <color rgb="FFD5DBE7"/>
      <name val="Arial"/>
      <family val="2"/>
    </font>
    <font>
      <b/>
      <sz val="9"/>
      <color rgb="FFC8A24A"/>
      <name val="Arial"/>
      <family val="2"/>
    </font>
    <font>
      <b/>
      <sz val="13"/>
      <color rgb="FF0F1E3D"/>
      <name val="Arial"/>
      <family val="2"/>
    </font>
    <font>
      <sz val="11"/>
      <color rgb="FF1B2333"/>
      <name val="Arial"/>
      <family val="2"/>
    </font>
    <font>
      <b/>
      <sz val="10"/>
      <color rgb="FF0E7C7B"/>
      <name val="Arial"/>
      <family val="2"/>
    </font>
    <font>
      <i/>
      <sz val="9"/>
      <color rgb="FF616B7D"/>
      <name val="Arial"/>
      <family val="2"/>
    </font>
    <font>
      <b/>
      <sz val="11"/>
      <color rgb="FF0F1E3D"/>
      <name val="Arial"/>
      <family val="2"/>
    </font>
    <font>
      <b/>
      <sz val="14"/>
      <color rgb="FF0F1E3D"/>
      <name val="Georgia"/>
      <family val="1"/>
    </font>
    <font>
      <i/>
      <sz val="9"/>
      <color rgb="FF5A6B7A"/>
      <name val="Arial"/>
      <family val="2"/>
    </font>
    <font>
      <b/>
      <sz val="12"/>
      <color rgb="FF1B2333"/>
      <name val="Arial"/>
      <family val="2"/>
    </font>
    <font>
      <b/>
      <sz val="10"/>
      <color rgb="FFFFFFFF"/>
      <name val="Arial"/>
      <family val="2"/>
    </font>
    <font>
      <b/>
      <sz val="11"/>
      <color rgb="FF1B2333"/>
      <name val="Arial"/>
      <family val="2"/>
    </font>
    <font>
      <b/>
      <sz val="12"/>
      <color rgb="FFC9A22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8E5A"/>
      </patternFill>
    </fill>
    <fill>
      <patternFill patternType="solid">
        <fgColor rgb="FF0F1E3D"/>
      </patternFill>
    </fill>
    <fill>
      <patternFill patternType="solid">
        <fgColor rgb="FFF4F6FA"/>
      </patternFill>
    </fill>
    <fill>
      <patternFill patternType="solid">
        <fgColor rgb="FFFBF4E0"/>
      </patternFill>
    </fill>
    <fill>
      <patternFill patternType="solid">
        <fgColor rgb="FF16294F"/>
      </patternFill>
    </fill>
  </fills>
  <borders count="5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E7EBF2"/>
      </left>
      <right style="thin">
        <color rgb="FFE7EBF2"/>
      </right>
      <top style="thin">
        <color rgb="FFE7EBF2"/>
      </top>
      <bottom style="thin">
        <color rgb="FFE7EBF2"/>
      </bottom>
      <diagonal/>
    </border>
    <border>
      <left style="thin">
        <color rgb="FFE0C274"/>
      </left>
      <right style="thin">
        <color rgb="FFE0C274"/>
      </right>
      <top style="thin">
        <color rgb="FFE0C274"/>
      </top>
      <bottom style="thin">
        <color rgb="FFE0C274"/>
      </bottom>
      <diagonal/>
    </border>
    <border>
      <left style="thin">
        <color rgb="FF16294F"/>
      </left>
      <right style="thin">
        <color rgb="FF16294F"/>
      </right>
      <top style="thin">
        <color rgb="FF16294F"/>
      </top>
      <bottom style="medium">
        <color rgb="FFC8A24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8" fillId="4" borderId="2" xfId="0" applyFont="1" applyFill="1" applyBorder="1" applyAlignment="1">
      <alignment vertical="center"/>
    </xf>
    <xf numFmtId="167" fontId="9" fillId="4" borderId="2" xfId="0" applyNumberFormat="1" applyFont="1" applyFill="1" applyBorder="1" applyAlignment="1">
      <alignment horizontal="right" vertical="center" shrinkToFit="1"/>
    </xf>
    <xf numFmtId="168" fontId="9" fillId="4" borderId="2" xfId="0" applyNumberFormat="1" applyFont="1" applyFill="1" applyBorder="1" applyAlignment="1">
      <alignment horizontal="right" vertical="center" shrinkToFit="1"/>
    </xf>
    <xf numFmtId="1" fontId="9" fillId="4" borderId="2" xfId="0" applyNumberFormat="1" applyFont="1" applyFill="1" applyBorder="1" applyAlignment="1">
      <alignment horizontal="right" vertical="center" shrinkToFit="1"/>
    </xf>
    <xf numFmtId="0" fontId="10" fillId="0" borderId="0" xfId="0" applyFont="1"/>
    <xf numFmtId="0" fontId="8" fillId="0" borderId="0" xfId="0" applyFont="1"/>
    <xf numFmtId="164" fontId="11" fillId="5" borderId="3" xfId="0" applyNumberFormat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165" fontId="5" fillId="0" borderId="1" xfId="0" applyNumberFormat="1" applyFont="1" applyBorder="1"/>
    <xf numFmtId="165" fontId="14" fillId="0" borderId="0" xfId="0" applyNumberFormat="1" applyFont="1"/>
    <xf numFmtId="169" fontId="5" fillId="0" borderId="1" xfId="0" applyNumberFormat="1" applyFont="1" applyBorder="1" applyAlignment="1">
      <alignment horizontal="center" vertical="center" wrapText="1"/>
    </xf>
    <xf numFmtId="169" fontId="5" fillId="0" borderId="1" xfId="0" applyNumberFormat="1" applyFont="1" applyBorder="1"/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8" fillId="0" borderId="0" xfId="0" applyFont="1"/>
  </cellXfs>
  <cellStyles count="1">
    <cellStyle name="Normal" xfId="0" builtinId="0"/>
  </cellStyles>
  <dxfs count="1">
    <dxf>
      <font>
        <b/>
        <color rgb="FF1E6B34"/>
      </font>
      <fill>
        <patternFill patternType="solid">
          <fgColor rgb="FFDFF3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24A"/>
    <pageSetUpPr fitToPage="1"/>
  </sheetPr>
  <dimension ref="A1:B15"/>
  <sheetViews>
    <sheetView showGridLines="0" tabSelected="1" workbookViewId="0">
      <selection sqref="A1:B1"/>
    </sheetView>
  </sheetViews>
  <sheetFormatPr baseColWidth="10" defaultColWidth="8.83203125" defaultRowHeight="15" x14ac:dyDescent="0.2"/>
  <cols>
    <col min="1" max="1" width="3" customWidth="1"/>
    <col min="2" max="2" width="96" customWidth="1"/>
  </cols>
  <sheetData>
    <row r="1" spans="1:2" ht="30" customHeight="1" x14ac:dyDescent="0.2">
      <c r="A1" s="33" t="s">
        <v>0</v>
      </c>
      <c r="B1" s="31"/>
    </row>
    <row r="2" spans="1:2" ht="18" customHeight="1" x14ac:dyDescent="0.2">
      <c r="A2" s="32" t="s">
        <v>1</v>
      </c>
      <c r="B2" s="31"/>
    </row>
    <row r="3" spans="1:2" ht="16" customHeight="1" x14ac:dyDescent="0.2">
      <c r="A3" s="30" t="s">
        <v>2</v>
      </c>
      <c r="B3" s="31"/>
    </row>
    <row r="5" spans="1:2" ht="20" customHeight="1" x14ac:dyDescent="0.2">
      <c r="B5" s="4" t="s">
        <v>3</v>
      </c>
    </row>
    <row r="6" spans="1:2" ht="30" customHeight="1" x14ac:dyDescent="0.2">
      <c r="B6" s="5" t="s">
        <v>4</v>
      </c>
    </row>
    <row r="7" spans="1:2" ht="20" customHeight="1" x14ac:dyDescent="0.2">
      <c r="B7" s="4" t="s">
        <v>5</v>
      </c>
    </row>
    <row r="8" spans="1:2" ht="30" customHeight="1" x14ac:dyDescent="0.2">
      <c r="B8" s="5" t="s">
        <v>6</v>
      </c>
    </row>
    <row r="9" spans="1:2" ht="30" customHeight="1" x14ac:dyDescent="0.2">
      <c r="B9" s="5" t="s">
        <v>7</v>
      </c>
    </row>
    <row r="10" spans="1:2" ht="30" customHeight="1" x14ac:dyDescent="0.2">
      <c r="B10" s="5" t="s">
        <v>8</v>
      </c>
    </row>
    <row r="11" spans="1:2" ht="48" customHeight="1" x14ac:dyDescent="0.2">
      <c r="B11" s="5" t="s">
        <v>9</v>
      </c>
    </row>
    <row r="12" spans="1:2" ht="32" customHeight="1" x14ac:dyDescent="0.2">
      <c r="B12" s="6" t="s">
        <v>10</v>
      </c>
    </row>
    <row r="13" spans="1:2" ht="20" customHeight="1" x14ac:dyDescent="0.2">
      <c r="B13" s="4" t="s">
        <v>11</v>
      </c>
    </row>
    <row r="14" spans="1:2" ht="30" customHeight="1" x14ac:dyDescent="0.2">
      <c r="B14" s="5" t="s">
        <v>12</v>
      </c>
    </row>
    <row r="15" spans="1:2" ht="20" customHeight="1" x14ac:dyDescent="0.2">
      <c r="B15" s="7" t="s">
        <v>13</v>
      </c>
    </row>
  </sheetData>
  <mergeCells count="3">
    <mergeCell ref="A3:B3"/>
    <mergeCell ref="A2:B2"/>
    <mergeCell ref="A1:B1"/>
  </mergeCell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24A"/>
    <pageSetUpPr fitToPage="1"/>
  </sheetPr>
  <dimension ref="A1:D14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8" customWidth="1"/>
    <col min="3" max="3" width="22" customWidth="1"/>
    <col min="4" max="4" width="30" customWidth="1"/>
  </cols>
  <sheetData>
    <row r="1" spans="1:4" ht="26" customHeight="1" x14ac:dyDescent="0.25">
      <c r="A1" s="8" t="s">
        <v>14</v>
      </c>
      <c r="B1" s="8"/>
      <c r="C1" s="8"/>
      <c r="D1" s="8"/>
    </row>
    <row r="2" spans="1:4" x14ac:dyDescent="0.2">
      <c r="A2" s="9" t="s">
        <v>15</v>
      </c>
      <c r="B2" s="9"/>
      <c r="C2" s="9"/>
      <c r="D2" s="9"/>
    </row>
    <row r="3" spans="1:4" x14ac:dyDescent="0.2">
      <c r="A3" s="10" t="s">
        <v>2</v>
      </c>
      <c r="B3" s="10"/>
      <c r="C3" s="10"/>
      <c r="D3" s="10"/>
    </row>
    <row r="5" spans="1:4" ht="24" customHeight="1" x14ac:dyDescent="0.2">
      <c r="B5" s="11" t="s">
        <v>16</v>
      </c>
      <c r="C5" s="12">
        <f>Optimizer!K23</f>
        <v>1938</v>
      </c>
    </row>
    <row r="6" spans="1:4" ht="24" customHeight="1" x14ac:dyDescent="0.2">
      <c r="B6" s="11" t="s">
        <v>17</v>
      </c>
      <c r="C6" s="12">
        <f>SUM(Optimizer!B8:B22)</f>
        <v>3280</v>
      </c>
    </row>
    <row r="7" spans="1:4" ht="24" customHeight="1" x14ac:dyDescent="0.2">
      <c r="B7" s="11" t="s">
        <v>18</v>
      </c>
      <c r="C7" s="13">
        <f>IF(SUM(Optimizer!B8:B22)=0,"—",Optimizer!K23/(SUM(Optimizer!B8:B22)*12))</f>
        <v>4.9237804878048783E-2</v>
      </c>
    </row>
    <row r="8" spans="1:4" ht="24" customHeight="1" x14ac:dyDescent="0.2">
      <c r="B8" s="11" t="str">
        <f>"Categories won by "&amp;Optimizer!C7</f>
        <v>Categories won by Card 1</v>
      </c>
      <c r="C8" s="14">
        <f>COUNTIF(Optimizer!H8:H22,Optimizer!C7)</f>
        <v>5</v>
      </c>
    </row>
    <row r="9" spans="1:4" ht="24" customHeight="1" x14ac:dyDescent="0.2">
      <c r="B9" s="11" t="str">
        <f>"Categories won by "&amp;Optimizer!D7</f>
        <v>Categories won by Card 2</v>
      </c>
      <c r="C9" s="14">
        <f>COUNTIF(Optimizer!H8:H22,Optimizer!D7)</f>
        <v>2</v>
      </c>
    </row>
    <row r="10" spans="1:4" ht="24" customHeight="1" x14ac:dyDescent="0.2">
      <c r="B10" s="11" t="str">
        <f>"Categories won by "&amp;Optimizer!E7</f>
        <v>Categories won by Card 3</v>
      </c>
      <c r="C10" s="14">
        <f>COUNTIF(Optimizer!H8:H22,Optimizer!E7)</f>
        <v>0</v>
      </c>
    </row>
    <row r="11" spans="1:4" ht="24" customHeight="1" x14ac:dyDescent="0.2">
      <c r="B11" s="11" t="str">
        <f>"Categories won by "&amp;Optimizer!F7</f>
        <v>Categories won by Card 4</v>
      </c>
      <c r="C11" s="14">
        <f>COUNTIF(Optimizer!H8:H22,Optimizer!F7)</f>
        <v>2</v>
      </c>
    </row>
    <row r="12" spans="1:4" ht="24" customHeight="1" x14ac:dyDescent="0.2">
      <c r="B12" s="11" t="str">
        <f>"Categories won by "&amp;Optimizer!G7</f>
        <v>Categories won by Card 5</v>
      </c>
      <c r="C12" s="14">
        <f>COUNTIF(Optimizer!H8:H22,Optimizer!G7)</f>
        <v>1</v>
      </c>
    </row>
    <row r="14" spans="1:4" x14ac:dyDescent="0.2">
      <c r="B14" s="15" t="s">
        <v>19</v>
      </c>
    </row>
  </sheetData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294F"/>
    <pageSetUpPr fitToPage="1"/>
  </sheetPr>
  <dimension ref="A1:K23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0" customWidth="1"/>
    <col min="3" max="7" width="8" customWidth="1"/>
    <col min="8" max="8" width="16" customWidth="1"/>
    <col min="9" max="9" width="9" customWidth="1"/>
    <col min="10" max="10" width="10" customWidth="1"/>
    <col min="11" max="11" width="11" customWidth="1"/>
  </cols>
  <sheetData>
    <row r="1" spans="1:11" ht="30" customHeight="1" x14ac:dyDescent="0.2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8" customHeight="1" x14ac:dyDescent="0.2">
      <c r="A2" s="32" t="s">
        <v>20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6" customHeight="1" x14ac:dyDescent="0.2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 ht="16" x14ac:dyDescent="0.2">
      <c r="A5" s="34" t="s">
        <v>21</v>
      </c>
      <c r="B5" s="31"/>
      <c r="C5" s="17">
        <v>1</v>
      </c>
      <c r="D5" s="7" t="s">
        <v>22</v>
      </c>
    </row>
    <row r="6" spans="1:11" ht="16" x14ac:dyDescent="0.2">
      <c r="A6" s="34" t="s">
        <v>23</v>
      </c>
      <c r="B6" s="31"/>
      <c r="C6" s="17">
        <v>1.5</v>
      </c>
      <c r="D6" s="17">
        <v>1.5</v>
      </c>
      <c r="E6" s="17">
        <v>1</v>
      </c>
      <c r="F6" s="17">
        <v>1</v>
      </c>
      <c r="G6" s="17"/>
    </row>
    <row r="7" spans="1:11" ht="34" customHeight="1" x14ac:dyDescent="0.2">
      <c r="A7" s="18" t="s">
        <v>24</v>
      </c>
      <c r="B7" s="18" t="s">
        <v>25</v>
      </c>
      <c r="C7" s="19" t="s">
        <v>26</v>
      </c>
      <c r="D7" s="19" t="s">
        <v>27</v>
      </c>
      <c r="E7" s="19" t="s">
        <v>28</v>
      </c>
      <c r="F7" s="19" t="s">
        <v>29</v>
      </c>
      <c r="G7" s="19" t="s">
        <v>30</v>
      </c>
      <c r="H7" s="18" t="s">
        <v>31</v>
      </c>
      <c r="I7" s="18" t="s">
        <v>32</v>
      </c>
      <c r="J7" s="18" t="s">
        <v>33</v>
      </c>
      <c r="K7" s="18" t="s">
        <v>34</v>
      </c>
    </row>
    <row r="8" spans="1:11" x14ac:dyDescent="0.2">
      <c r="A8" s="20" t="s">
        <v>35</v>
      </c>
      <c r="B8" s="21">
        <v>500</v>
      </c>
      <c r="C8" s="22">
        <v>4</v>
      </c>
      <c r="D8" s="22">
        <v>3</v>
      </c>
      <c r="E8" s="22">
        <v>1</v>
      </c>
      <c r="F8" s="22">
        <v>1</v>
      </c>
      <c r="G8" s="22">
        <v>2</v>
      </c>
      <c r="H8" s="23" t="str">
        <f t="shared" ref="H8:H17" si="0">IF(I8=0,"—",IF(C8*IF(C$6="",$C$5,C$6)=I8,$C$7,IF(D8*IF(D$6="",$C$5,D$6)=I8,$D$7,IF(E8*IF(E$6="",$C$5,E$6)=I8,$E$7,IF(F8*IF(F$6="",$C$5,F$6)=I8,$F$7,$G$7)))))</f>
        <v>Card 1</v>
      </c>
      <c r="I8" s="28">
        <f t="shared" ref="I8:I17" si="1">MAX(C8*IF(C$6="",$C$5,C$6),D8*IF(D$6="",$C$5,D$6),E8*IF(E$6="",$C$5,E$6),F8*IF(F$6="",$C$5,F$6),G8*IF(G$6="",$C$5,G$6))</f>
        <v>6</v>
      </c>
      <c r="J8" s="21">
        <f t="shared" ref="J8:J17" si="2">B8*I8/100</f>
        <v>30</v>
      </c>
      <c r="K8" s="24">
        <f t="shared" ref="K8:K17" si="3">J8*12</f>
        <v>360</v>
      </c>
    </row>
    <row r="9" spans="1:11" x14ac:dyDescent="0.2">
      <c r="A9" s="20" t="s">
        <v>36</v>
      </c>
      <c r="B9" s="21">
        <v>600</v>
      </c>
      <c r="C9" s="22">
        <v>1</v>
      </c>
      <c r="D9" s="22">
        <v>4</v>
      </c>
      <c r="E9" s="22">
        <v>3</v>
      </c>
      <c r="F9" s="22">
        <v>1</v>
      </c>
      <c r="G9" s="22">
        <v>1</v>
      </c>
      <c r="H9" s="23" t="str">
        <f t="shared" si="0"/>
        <v>Card 2</v>
      </c>
      <c r="I9" s="28">
        <f t="shared" si="1"/>
        <v>6</v>
      </c>
      <c r="J9" s="21">
        <f t="shared" si="2"/>
        <v>36</v>
      </c>
      <c r="K9" s="24">
        <f t="shared" si="3"/>
        <v>432</v>
      </c>
    </row>
    <row r="10" spans="1:11" x14ac:dyDescent="0.2">
      <c r="A10" s="20" t="s">
        <v>37</v>
      </c>
      <c r="B10" s="21">
        <v>200</v>
      </c>
      <c r="C10" s="22">
        <v>1</v>
      </c>
      <c r="D10" s="22">
        <v>1</v>
      </c>
      <c r="E10" s="22">
        <v>2</v>
      </c>
      <c r="F10" s="22">
        <v>3</v>
      </c>
      <c r="G10" s="22">
        <v>1</v>
      </c>
      <c r="H10" s="23" t="str">
        <f t="shared" si="0"/>
        <v>Card 4</v>
      </c>
      <c r="I10" s="28">
        <f t="shared" si="1"/>
        <v>3</v>
      </c>
      <c r="J10" s="21">
        <f t="shared" si="2"/>
        <v>6</v>
      </c>
      <c r="K10" s="24">
        <f t="shared" si="3"/>
        <v>72</v>
      </c>
    </row>
    <row r="11" spans="1:11" x14ac:dyDescent="0.2">
      <c r="A11" s="20" t="s">
        <v>38</v>
      </c>
      <c r="B11" s="21">
        <v>300</v>
      </c>
      <c r="C11" s="22">
        <v>5</v>
      </c>
      <c r="D11" s="22">
        <v>3</v>
      </c>
      <c r="E11" s="22">
        <v>1</v>
      </c>
      <c r="F11" s="22">
        <v>1</v>
      </c>
      <c r="G11" s="22">
        <v>2</v>
      </c>
      <c r="H11" s="23" t="str">
        <f t="shared" si="0"/>
        <v>Card 1</v>
      </c>
      <c r="I11" s="28">
        <f t="shared" si="1"/>
        <v>7.5</v>
      </c>
      <c r="J11" s="21">
        <f t="shared" si="2"/>
        <v>22.5</v>
      </c>
      <c r="K11" s="24">
        <f t="shared" si="3"/>
        <v>270</v>
      </c>
    </row>
    <row r="12" spans="1:11" x14ac:dyDescent="0.2">
      <c r="A12" s="20" t="s">
        <v>39</v>
      </c>
      <c r="B12" s="21">
        <v>250</v>
      </c>
      <c r="C12" s="22">
        <v>5</v>
      </c>
      <c r="D12" s="22">
        <v>3</v>
      </c>
      <c r="E12" s="22">
        <v>1</v>
      </c>
      <c r="F12" s="22">
        <v>1</v>
      </c>
      <c r="G12" s="22">
        <v>1</v>
      </c>
      <c r="H12" s="23" t="str">
        <f t="shared" si="0"/>
        <v>Card 1</v>
      </c>
      <c r="I12" s="28">
        <f t="shared" si="1"/>
        <v>7.5</v>
      </c>
      <c r="J12" s="21">
        <f t="shared" si="2"/>
        <v>18.75</v>
      </c>
      <c r="K12" s="24">
        <f t="shared" si="3"/>
        <v>225</v>
      </c>
    </row>
    <row r="13" spans="1:11" x14ac:dyDescent="0.2">
      <c r="A13" s="20" t="s">
        <v>40</v>
      </c>
      <c r="B13" s="21">
        <v>150</v>
      </c>
      <c r="C13" s="22">
        <v>1</v>
      </c>
      <c r="D13" s="22">
        <v>5</v>
      </c>
      <c r="E13" s="22">
        <v>1</v>
      </c>
      <c r="F13" s="22">
        <v>1</v>
      </c>
      <c r="G13" s="22">
        <v>3</v>
      </c>
      <c r="H13" s="23" t="str">
        <f t="shared" si="0"/>
        <v>Card 2</v>
      </c>
      <c r="I13" s="28">
        <f t="shared" si="1"/>
        <v>7.5</v>
      </c>
      <c r="J13" s="21">
        <f t="shared" si="2"/>
        <v>11.25</v>
      </c>
      <c r="K13" s="24">
        <f t="shared" si="3"/>
        <v>135</v>
      </c>
    </row>
    <row r="14" spans="1:11" x14ac:dyDescent="0.2">
      <c r="A14" s="20" t="s">
        <v>41</v>
      </c>
      <c r="B14" s="21">
        <v>120</v>
      </c>
      <c r="C14" s="22">
        <v>3</v>
      </c>
      <c r="D14" s="22">
        <v>3</v>
      </c>
      <c r="E14" s="22">
        <v>1</v>
      </c>
      <c r="F14" s="22">
        <v>1</v>
      </c>
      <c r="G14" s="22">
        <v>1</v>
      </c>
      <c r="H14" s="23" t="str">
        <f t="shared" si="0"/>
        <v>Card 1</v>
      </c>
      <c r="I14" s="28">
        <f t="shared" si="1"/>
        <v>4.5</v>
      </c>
      <c r="J14" s="21">
        <f t="shared" si="2"/>
        <v>5.4</v>
      </c>
      <c r="K14" s="24">
        <f t="shared" si="3"/>
        <v>64.800000000000011</v>
      </c>
    </row>
    <row r="15" spans="1:11" x14ac:dyDescent="0.2">
      <c r="A15" s="20" t="s">
        <v>42</v>
      </c>
      <c r="B15" s="21">
        <v>300</v>
      </c>
      <c r="C15" s="22">
        <v>1</v>
      </c>
      <c r="D15" s="22">
        <v>1</v>
      </c>
      <c r="E15" s="22">
        <v>2</v>
      </c>
      <c r="F15" s="22">
        <v>1</v>
      </c>
      <c r="G15" s="22">
        <v>4</v>
      </c>
      <c r="H15" s="23" t="str">
        <f t="shared" si="0"/>
        <v>Card 5</v>
      </c>
      <c r="I15" s="28">
        <f t="shared" si="1"/>
        <v>4</v>
      </c>
      <c r="J15" s="21">
        <f t="shared" si="2"/>
        <v>12</v>
      </c>
      <c r="K15" s="24">
        <f t="shared" si="3"/>
        <v>144</v>
      </c>
    </row>
    <row r="16" spans="1:11" x14ac:dyDescent="0.2">
      <c r="A16" s="20" t="s">
        <v>43</v>
      </c>
      <c r="B16" s="21">
        <v>60</v>
      </c>
      <c r="C16" s="22">
        <v>4</v>
      </c>
      <c r="D16" s="22">
        <v>1</v>
      </c>
      <c r="E16" s="22">
        <v>1</v>
      </c>
      <c r="F16" s="22">
        <v>1</v>
      </c>
      <c r="G16" s="22">
        <v>1</v>
      </c>
      <c r="H16" s="23" t="str">
        <f t="shared" si="0"/>
        <v>Card 1</v>
      </c>
      <c r="I16" s="28">
        <f t="shared" si="1"/>
        <v>6</v>
      </c>
      <c r="J16" s="21">
        <f t="shared" si="2"/>
        <v>3.6</v>
      </c>
      <c r="K16" s="24">
        <f t="shared" si="3"/>
        <v>43.2</v>
      </c>
    </row>
    <row r="17" spans="1:11" x14ac:dyDescent="0.2">
      <c r="A17" s="20" t="s">
        <v>44</v>
      </c>
      <c r="B17" s="21">
        <v>800</v>
      </c>
      <c r="C17" s="22">
        <v>1</v>
      </c>
      <c r="D17" s="22">
        <v>1</v>
      </c>
      <c r="E17" s="22">
        <v>1</v>
      </c>
      <c r="F17" s="22">
        <v>2</v>
      </c>
      <c r="G17" s="22">
        <v>1.5</v>
      </c>
      <c r="H17" s="23" t="str">
        <f t="shared" si="0"/>
        <v>Card 4</v>
      </c>
      <c r="I17" s="28">
        <f t="shared" si="1"/>
        <v>2</v>
      </c>
      <c r="J17" s="21">
        <f t="shared" si="2"/>
        <v>16</v>
      </c>
      <c r="K17" s="24">
        <f t="shared" si="3"/>
        <v>192</v>
      </c>
    </row>
    <row r="18" spans="1:11" x14ac:dyDescent="0.2">
      <c r="A18" s="1"/>
      <c r="B18" s="2"/>
      <c r="C18" s="3"/>
      <c r="D18" s="3"/>
      <c r="E18" s="3"/>
      <c r="F18" s="3"/>
      <c r="G18" s="3"/>
      <c r="H18" s="25" t="str">
        <f>IF(A18="","",IF(I18=0,"—",IF(C18*IF(C$6="",$C$5,C$6)=I18,$C$7,IF(D18*IF(D$6="",$C$5,D$6)=I18,$D$7,IF(E18*IF(E$6="",$C$5,E$6)=I18,$E$7,IF(F18*IF(F$6="",$C$5,F$6)=I18,$F$7,$G$7))))))</f>
        <v/>
      </c>
      <c r="I18" s="29" t="str">
        <f>IF(A18="","",MAX(C18*IF(C$6="",$C$5,C$6),D18*IF(D$6="",$C$5,D$6),E18*IF(E$6="",$C$5,E$6),F18*IF(F$6="",$C$5,F$6),G18*IF(G$6="",$C$5,G$6)))</f>
        <v/>
      </c>
      <c r="J18" s="26" t="str">
        <f>IF(A18="","",B18*I18/100)</f>
        <v/>
      </c>
      <c r="K18" s="26" t="str">
        <f>IF(A18="","",J18*12)</f>
        <v/>
      </c>
    </row>
    <row r="19" spans="1:11" x14ac:dyDescent="0.2">
      <c r="A19" s="1"/>
      <c r="B19" s="2"/>
      <c r="C19" s="3"/>
      <c r="D19" s="3"/>
      <c r="E19" s="3"/>
      <c r="F19" s="3"/>
      <c r="G19" s="3"/>
      <c r="H19" s="25" t="str">
        <f>IF(A19="","",IF(I19=0,"—",IF(C19*IF(C$6="",$C$5,C$6)=I19,$C$7,IF(D19*IF(D$6="",$C$5,D$6)=I19,$D$7,IF(E19*IF(E$6="",$C$5,E$6)=I19,$E$7,IF(F19*IF(F$6="",$C$5,F$6)=I19,$F$7,$G$7))))))</f>
        <v/>
      </c>
      <c r="I19" s="29" t="str">
        <f>IF(A19="","",MAX(C19*IF(C$6="",$C$5,C$6),D19*IF(D$6="",$C$5,D$6),E19*IF(E$6="",$C$5,E$6),F19*IF(F$6="",$C$5,F$6),G19*IF(G$6="",$C$5,G$6)))</f>
        <v/>
      </c>
      <c r="J19" s="26" t="str">
        <f>IF(A19="","",B19*I19/100)</f>
        <v/>
      </c>
      <c r="K19" s="26" t="str">
        <f>IF(A19="","",J19*12)</f>
        <v/>
      </c>
    </row>
    <row r="20" spans="1:11" x14ac:dyDescent="0.2">
      <c r="A20" s="1"/>
      <c r="B20" s="2"/>
      <c r="C20" s="3"/>
      <c r="D20" s="3"/>
      <c r="E20" s="3"/>
      <c r="F20" s="3"/>
      <c r="G20" s="3"/>
      <c r="H20" s="25" t="str">
        <f>IF(A20="","",IF(I20=0,"—",IF(C20*IF(C$6="",$C$5,C$6)=I20,$C$7,IF(D20*IF(D$6="",$C$5,D$6)=I20,$D$7,IF(E20*IF(E$6="",$C$5,E$6)=I20,$E$7,IF(F20*IF(F$6="",$C$5,F$6)=I20,$F$7,$G$7))))))</f>
        <v/>
      </c>
      <c r="I20" s="29" t="str">
        <f>IF(A20="","",MAX(C20*IF(C$6="",$C$5,C$6),D20*IF(D$6="",$C$5,D$6),E20*IF(E$6="",$C$5,E$6),F20*IF(F$6="",$C$5,F$6),G20*IF(G$6="",$C$5,G$6)))</f>
        <v/>
      </c>
      <c r="J20" s="26" t="str">
        <f>IF(A20="","",B20*I20/100)</f>
        <v/>
      </c>
      <c r="K20" s="26" t="str">
        <f>IF(A20="","",J20*12)</f>
        <v/>
      </c>
    </row>
    <row r="21" spans="1:11" x14ac:dyDescent="0.2">
      <c r="A21" s="1"/>
      <c r="B21" s="2"/>
      <c r="C21" s="3"/>
      <c r="D21" s="3"/>
      <c r="E21" s="3"/>
      <c r="F21" s="3"/>
      <c r="G21" s="3"/>
      <c r="H21" s="25" t="str">
        <f>IF(A21="","",IF(I21=0,"—",IF(C21*IF(C$6="",$C$5,C$6)=I21,$C$7,IF(D21*IF(D$6="",$C$5,D$6)=I21,$D$7,IF(E21*IF(E$6="",$C$5,E$6)=I21,$E$7,IF(F21*IF(F$6="",$C$5,F$6)=I21,$F$7,$G$7))))))</f>
        <v/>
      </c>
      <c r="I21" s="29" t="str">
        <f>IF(A21="","",MAX(C21*IF(C$6="",$C$5,C$6),D21*IF(D$6="",$C$5,D$6),E21*IF(E$6="",$C$5,E$6),F21*IF(F$6="",$C$5,F$6),G21*IF(G$6="",$C$5,G$6)))</f>
        <v/>
      </c>
      <c r="J21" s="26" t="str">
        <f>IF(A21="","",B21*I21/100)</f>
        <v/>
      </c>
      <c r="K21" s="26" t="str">
        <f>IF(A21="","",J21*12)</f>
        <v/>
      </c>
    </row>
    <row r="22" spans="1:11" x14ac:dyDescent="0.2">
      <c r="A22" s="1"/>
      <c r="B22" s="2"/>
      <c r="C22" s="3"/>
      <c r="D22" s="3"/>
      <c r="E22" s="3"/>
      <c r="F22" s="3"/>
      <c r="G22" s="3"/>
      <c r="H22" s="25" t="str">
        <f>IF(A22="","",IF(I22=0,"—",IF(C22*IF(C$6="",$C$5,C$6)=I22,$C$7,IF(D22*IF(D$6="",$C$5,D$6)=I22,$D$7,IF(E22*IF(E$6="",$C$5,E$6)=I22,$E$7,IF(F22*IF(F$6="",$C$5,F$6)=I22,$F$7,$G$7))))))</f>
        <v/>
      </c>
      <c r="I22" s="29" t="str">
        <f>IF(A22="","",MAX(C22*IF(C$6="",$C$5,C$6),D22*IF(D$6="",$C$5,D$6),E22*IF(E$6="",$C$5,E$6),F22*IF(F$6="",$C$5,F$6),G22*IF(G$6="",$C$5,G$6)))</f>
        <v/>
      </c>
      <c r="J22" s="26" t="str">
        <f>IF(A22="","",B22*I22/100)</f>
        <v/>
      </c>
      <c r="K22" s="26" t="str">
        <f>IF(A22="","",J22*12)</f>
        <v/>
      </c>
    </row>
    <row r="23" spans="1:11" ht="16" x14ac:dyDescent="0.2">
      <c r="A23" s="16" t="s">
        <v>45</v>
      </c>
      <c r="K23" s="27">
        <f>SUM(K8:K22)</f>
        <v>1938</v>
      </c>
    </row>
  </sheetData>
  <mergeCells count="5">
    <mergeCell ref="A3:K3"/>
    <mergeCell ref="A5:B5"/>
    <mergeCell ref="A2:K2"/>
    <mergeCell ref="A1:K1"/>
    <mergeCell ref="A6:B6"/>
  </mergeCells>
  <conditionalFormatting sqref="C8:G22">
    <cfRule type="expression" dxfId="0" priority="1">
      <formula>AND(C8&gt;0,C8*IF(C$6="",$C$5,C$6)=$I8)</formula>
    </cfRule>
  </conditionalFormatting>
  <dataValidations count="4">
    <dataValidation type="decimal" allowBlank="1" showErrorMessage="1" errorTitle="Multiplier" error="Points per dollar, e.g. 1, 1.5, 3, 5." sqref="C8:G22" xr:uid="{00000000-0002-0000-0200-000000000000}">
      <formula1>0</formula1>
      <formula2>20</formula2>
    </dataValidation>
    <dataValidation type="decimal" operator="greaterThanOrEqual" allowBlank="1" showErrorMessage="1" errorTitle="Numbers only" error="Enter a dollar amount (0 or more), no $ sign needed." sqref="B8:B22" xr:uid="{00000000-0002-0000-0200-000001000000}">
      <formula1>0</formula1>
    </dataValidation>
    <dataValidation type="decimal" allowBlank="1" showErrorMessage="1" errorTitle="Point value" error="Cents per point, e.g. 1.0 for cash back." sqref="C5" xr:uid="{00000000-0002-0000-0200-000002000000}">
      <formula1>0</formula1>
      <formula2>10</formula2>
    </dataValidation>
    <dataValidation type="decimal" allowBlank="1" showErrorMessage="1" errorTitle="Point value" error="Cents per point for this card, e.g. 1.0 for cash back, 1.5 for transferable points. Leave blank to use the default." sqref="C6:G6" xr:uid="{00000000-0002-0000-0200-000003000000}">
      <formula1>0</formula1>
      <formula2>10</formula2>
    </dataValidation>
  </dataValidation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Read Me</vt:lpstr>
      <vt:lpstr>Summary</vt:lpstr>
      <vt:lpstr>Optimizer</vt:lpstr>
      <vt:lpstr>Optimizer!Print_Area</vt:lpstr>
      <vt:lpstr>'Read Me'!Print_Area</vt:lpstr>
      <vt:lpstr>Summary!Print_Area</vt:lpstr>
      <vt:lpstr>Optimizer!Print_Titles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 &amp; Finance Tips</dc:creator>
  <cp:lastModifiedBy>Travel &amp; Finance Tips</cp:lastModifiedBy>
  <dcterms:created xsi:type="dcterms:W3CDTF">2026-07-21T13:54:39Z</dcterms:created>
  <dcterms:modified xsi:type="dcterms:W3CDTF">2026-09-24T18:08:50Z</dcterms:modified>
</cp:coreProperties>
</file>