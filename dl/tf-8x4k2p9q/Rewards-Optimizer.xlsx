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Optimiz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&quot;¢&quot;"/>
    <numFmt numFmtId="165" formatCode="$#,##0"/>
    <numFmt numFmtId="166" formatCode="0.0&quot;x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FFFFFF"/>
      <sz val="11"/>
    </font>
    <font>
      <name val="Calibri"/>
      <b val="1"/>
      <color rgb="00C9A227"/>
      <sz val="9"/>
    </font>
    <font>
      <name val="Calibri"/>
      <b val="1"/>
      <color rgb="000B2A4A"/>
      <sz val="13"/>
    </font>
    <font>
      <name val="Calibri"/>
      <color rgb="001A1A1A"/>
      <sz val="11"/>
    </font>
    <font>
      <name val="Calibri"/>
      <b val="1"/>
      <color rgb="000E7C7B"/>
      <sz val="10"/>
    </font>
    <font>
      <name val="Calibri"/>
      <i val="1"/>
      <color rgb="006B7785"/>
      <sz val="9"/>
    </font>
    <font>
      <name val="Calibri"/>
      <b val="1"/>
      <color rgb="000B2A4A"/>
      <sz val="11"/>
    </font>
    <font>
      <name val="Calibri"/>
      <b val="1"/>
      <color rgb="001A1A1A"/>
      <sz val="12"/>
    </font>
    <font>
      <name val="Calibri"/>
      <b val="1"/>
      <color rgb="00FFFFFF"/>
      <sz val="10"/>
    </font>
    <font>
      <name val="Calibri"/>
      <b val="1"/>
      <color rgb="001A1A1A"/>
      <sz val="11"/>
    </font>
    <font>
      <name val="Calibri"/>
      <b val="1"/>
      <color rgb="00C9A227"/>
      <sz val="12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FFF3C4"/>
      </patternFill>
    </fill>
    <fill>
      <patternFill patternType="solid">
        <fgColor rgb="000E7C7B"/>
      </patternFill>
    </fill>
    <fill>
      <patternFill patternType="solid">
        <fgColor rgb="001E8E5A"/>
      </patternFill>
    </fill>
  </fills>
  <borders count="2">
    <border>
      <left/>
      <right/>
      <top/>
      <bottom/>
      <diagonal/>
    </border>
    <border>
      <left style="thin">
        <color rgb="00C9D2DC"/>
      </left>
      <right style="thin">
        <color rgb="00C9D2DC"/>
      </right>
      <top style="thin">
        <color rgb="00C9D2DC"/>
      </top>
      <bottom style="thin">
        <color rgb="00C9D2D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8" fillId="0" borderId="0" pivotButton="0" quotePrefix="0" xfId="0"/>
    <xf numFmtId="164" fontId="9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165" fontId="0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3" fontId="0" fillId="0" borderId="1" pivotButton="0" quotePrefix="0" xfId="0"/>
    <xf numFmtId="165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96" customWidth="1" min="2" max="2"/>
  </cols>
  <sheetData>
    <row r="1" ht="30" customHeight="1">
      <c r="A1" s="1" t="inlineStr">
        <is>
          <t>Rewards Optimizer</t>
        </is>
      </c>
      <c r="B1" s="2" t="n"/>
    </row>
    <row r="2" ht="18" customHeight="1">
      <c r="A2" s="3" t="inlineStr">
        <is>
          <t>How to use this template</t>
        </is>
      </c>
      <c r="B2" s="2" t="n"/>
    </row>
    <row r="3" ht="16" customHeight="1">
      <c r="A3" s="4" t="inlineStr">
        <is>
          <t>Travel &amp; Finance  ·  travelfinancetips.com</t>
        </is>
      </c>
      <c r="B3" s="2" t="n"/>
    </row>
    <row r="5" ht="20" customHeight="1">
      <c r="B5" s="5" t="inlineStr">
        <is>
          <t>What this does</t>
        </is>
      </c>
    </row>
    <row r="6" ht="30" customHeight="1">
      <c r="B6" s="6" t="inlineStr">
        <is>
          <t>Shows you the single best card to use for every spending category, and estimates the annual rewards you're leaving on the table—so you always pull the right card.</t>
        </is>
      </c>
    </row>
    <row r="7" ht="20" customHeight="1">
      <c r="B7" s="5" t="inlineStr">
        <is>
          <t>How to use it (5 minutes)</t>
        </is>
      </c>
    </row>
    <row r="8" ht="30" customHeight="1">
      <c r="B8" s="6" t="inlineStr">
        <is>
          <t>1.  Go to the 'Optimizer' tab. Name your cards in the green header cells (Card 1…Card 5).</t>
        </is>
      </c>
    </row>
    <row r="9" ht="30" customHeight="1">
      <c r="B9" s="6" t="inlineStr">
        <is>
          <t>2.  For each spend category, enter each card's earn multiplier (e.g. 3 for 3x/3%).</t>
        </is>
      </c>
    </row>
    <row r="10" ht="30" customHeight="1">
      <c r="B10" s="6" t="inlineStr">
        <is>
          <t>3.  Enter your typical MONTHLY spend per category in column B.</t>
        </is>
      </c>
    </row>
    <row r="11" ht="30" customHeight="1">
      <c r="B11" s="6" t="inlineStr">
        <is>
          <t>4.  Set your points value (cents-per-point) in the yellow cell. The sheet auto-picks the Best Card and estimates annual value.</t>
        </is>
      </c>
    </row>
    <row r="12" ht="20" customHeight="1">
      <c r="B12" s="7" t="inlineStr">
        <is>
          <t>Cents-per-point: cashback = 1.0. Transferable points redeemed for travel are often 1.5–2.0. Use a conservative number you can actually achieve.</t>
        </is>
      </c>
    </row>
    <row r="13" ht="20" customHeight="1">
      <c r="B13" s="5" t="inlineStr">
        <is>
          <t>Read the results</t>
        </is>
      </c>
    </row>
    <row r="14" ht="30" customHeight="1">
      <c r="B14" s="6" t="inlineStr">
        <is>
          <t>'Best Card' = which card to swipe for that category. 'Annual $ Value' = what that category earns you per year at your spend + valuation.</t>
        </is>
      </c>
    </row>
    <row r="15" ht="20" customHeight="1">
      <c r="B15" s="8" t="inlineStr">
        <is>
          <t>Educational tool, not financial advice. Multipliers change—verify current earn rates. © Travel &amp; Finance · travelfinancetips.com</t>
        </is>
      </c>
    </row>
  </sheetData>
  <mergeCells count="3">
    <mergeCell ref="A3:B3"/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6" customWidth="1" min="8" max="8"/>
    <col width="9" customWidth="1" min="9" max="9"/>
    <col width="10" customWidth="1" min="10" max="10"/>
    <col width="11" customWidth="1" min="11" max="11"/>
  </cols>
  <sheetData>
    <row r="1" ht="30" customHeight="1">
      <c r="A1" s="1" t="inlineStr">
        <is>
          <t>Rewards Optimizer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8" customHeight="1">
      <c r="A2" s="3" t="inlineStr">
        <is>
          <t>Always know the best card for every dollar you spend.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 ht="16" customHeight="1">
      <c r="A3" s="4" t="inlineStr">
        <is>
          <t>Travel &amp; Finance  ·  travelfinancetips.com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5">
      <c r="A5" s="9" t="inlineStr">
        <is>
          <t>Point value (cents per point):</t>
        </is>
      </c>
      <c r="C5" s="10" t="n">
        <v>1.5</v>
      </c>
      <c r="D5" s="8" t="inlineStr">
        <is>
          <t>← cashback=1.0, travel transfers often 1.5–2.0</t>
        </is>
      </c>
    </row>
    <row r="7" ht="34" customHeight="1">
      <c r="A7" s="11" t="inlineStr">
        <is>
          <t>Spend Category</t>
        </is>
      </c>
      <c r="B7" s="11" t="inlineStr">
        <is>
          <t>Monthly
Spend $</t>
        </is>
      </c>
      <c r="C7" s="12" t="inlineStr">
        <is>
          <t>Card 1</t>
        </is>
      </c>
      <c r="D7" s="12" t="inlineStr">
        <is>
          <t>Card 2</t>
        </is>
      </c>
      <c r="E7" s="12" t="inlineStr">
        <is>
          <t>Card 3</t>
        </is>
      </c>
      <c r="F7" s="12" t="inlineStr">
        <is>
          <t>Card 4</t>
        </is>
      </c>
      <c r="G7" s="12" t="inlineStr">
        <is>
          <t>Card 5</t>
        </is>
      </c>
      <c r="H7" s="11" t="inlineStr">
        <is>
          <t>Best Card</t>
        </is>
      </c>
      <c r="I7" s="11" t="inlineStr">
        <is>
          <t>Best
Multiplier</t>
        </is>
      </c>
      <c r="J7" s="11" t="inlineStr">
        <is>
          <t>Monthly
Points</t>
        </is>
      </c>
      <c r="K7" s="11" t="inlineStr">
        <is>
          <t>Annual $
Value</t>
        </is>
      </c>
    </row>
    <row r="8">
      <c r="A8" s="13" t="inlineStr">
        <is>
          <t>Dining / Restaurants</t>
        </is>
      </c>
      <c r="B8" s="14" t="n">
        <v>500</v>
      </c>
      <c r="C8" s="15" t="n">
        <v>4</v>
      </c>
      <c r="D8" s="15" t="n">
        <v>3</v>
      </c>
      <c r="E8" s="15" t="n">
        <v>1</v>
      </c>
      <c r="F8" s="15" t="n">
        <v>1</v>
      </c>
      <c r="G8" s="15" t="n">
        <v>2</v>
      </c>
      <c r="H8" s="16">
        <f>IF(MAX(C8:G8)=0,"—",INDEX($C$7:$G$7,MATCH(I8,C8:G8,0)))</f>
        <v/>
      </c>
      <c r="I8" s="15">
        <f>MAX(C8:G8)</f>
        <v/>
      </c>
      <c r="J8" s="17">
        <f>B8*I8</f>
        <v/>
      </c>
      <c r="K8" s="18">
        <f>J8*12*$C$5/100</f>
        <v/>
      </c>
    </row>
    <row r="9">
      <c r="A9" s="13" t="inlineStr">
        <is>
          <t>Groceries (US supermarkets)</t>
        </is>
      </c>
      <c r="B9" s="14" t="n">
        <v>600</v>
      </c>
      <c r="C9" s="15" t="n">
        <v>1</v>
      </c>
      <c r="D9" s="15" t="n">
        <v>4</v>
      </c>
      <c r="E9" s="15" t="n">
        <v>3</v>
      </c>
      <c r="F9" s="15" t="n">
        <v>1</v>
      </c>
      <c r="G9" s="15" t="n">
        <v>1</v>
      </c>
      <c r="H9" s="16">
        <f>IF(MAX(C9:G9)=0,"—",INDEX($C$7:$G$7,MATCH(I9,C9:G9,0)))</f>
        <v/>
      </c>
      <c r="I9" s="15">
        <f>MAX(C9:G9)</f>
        <v/>
      </c>
      <c r="J9" s="17">
        <f>B9*I9</f>
        <v/>
      </c>
      <c r="K9" s="18">
        <f>J9*12*$C$5/100</f>
        <v/>
      </c>
    </row>
    <row r="10">
      <c r="A10" s="13" t="inlineStr">
        <is>
          <t>Gas / EV charging</t>
        </is>
      </c>
      <c r="B10" s="14" t="n">
        <v>200</v>
      </c>
      <c r="C10" s="15" t="n">
        <v>1</v>
      </c>
      <c r="D10" s="15" t="n">
        <v>1</v>
      </c>
      <c r="E10" s="15" t="n">
        <v>2</v>
      </c>
      <c r="F10" s="15" t="n">
        <v>3</v>
      </c>
      <c r="G10" s="15" t="n">
        <v>1</v>
      </c>
      <c r="H10" s="16">
        <f>IF(MAX(C10:G10)=0,"—",INDEX($C$7:$G$7,MATCH(I10,C10:G10,0)))</f>
        <v/>
      </c>
      <c r="I10" s="15">
        <f>MAX(C10:G10)</f>
        <v/>
      </c>
      <c r="J10" s="17">
        <f>B10*I10</f>
        <v/>
      </c>
      <c r="K10" s="18">
        <f>J10*12*$C$5/100</f>
        <v/>
      </c>
    </row>
    <row r="11">
      <c r="A11" s="13" t="inlineStr">
        <is>
          <t>Flights (booked direct)</t>
        </is>
      </c>
      <c r="B11" s="14" t="n">
        <v>300</v>
      </c>
      <c r="C11" s="15" t="n">
        <v>5</v>
      </c>
      <c r="D11" s="15" t="n">
        <v>3</v>
      </c>
      <c r="E11" s="15" t="n">
        <v>1</v>
      </c>
      <c r="F11" s="15" t="n">
        <v>1</v>
      </c>
      <c r="G11" s="15" t="n">
        <v>2</v>
      </c>
      <c r="H11" s="16">
        <f>IF(MAX(C11:G11)=0,"—",INDEX($C$7:$G$7,MATCH(I11,C11:G11,0)))</f>
        <v/>
      </c>
      <c r="I11" s="15">
        <f>MAX(C11:G11)</f>
        <v/>
      </c>
      <c r="J11" s="17">
        <f>B11*I11</f>
        <v/>
      </c>
      <c r="K11" s="18">
        <f>J11*12*$C$5/100</f>
        <v/>
      </c>
    </row>
    <row r="12">
      <c r="A12" s="13" t="inlineStr">
        <is>
          <t>Hotels / Lodging</t>
        </is>
      </c>
      <c r="B12" s="14" t="n">
        <v>250</v>
      </c>
      <c r="C12" s="15" t="n">
        <v>5</v>
      </c>
      <c r="D12" s="15" t="n">
        <v>3</v>
      </c>
      <c r="E12" s="15" t="n">
        <v>1</v>
      </c>
      <c r="F12" s="15" t="n">
        <v>1</v>
      </c>
      <c r="G12" s="15" t="n">
        <v>1</v>
      </c>
      <c r="H12" s="16">
        <f>IF(MAX(C12:G12)=0,"—",INDEX($C$7:$G$7,MATCH(I12,C12:G12,0)))</f>
        <v/>
      </c>
      <c r="I12" s="15">
        <f>MAX(C12:G12)</f>
        <v/>
      </c>
      <c r="J12" s="17">
        <f>B12*I12</f>
        <v/>
      </c>
      <c r="K12" s="18">
        <f>J12*12*$C$5/100</f>
        <v/>
      </c>
    </row>
    <row r="13">
      <c r="A13" s="13" t="inlineStr">
        <is>
          <t>Travel via portal</t>
        </is>
      </c>
      <c r="B13" s="14" t="n">
        <v>150</v>
      </c>
      <c r="C13" s="15" t="n">
        <v>1</v>
      </c>
      <c r="D13" s="15" t="n">
        <v>5</v>
      </c>
      <c r="E13" s="15" t="n">
        <v>1</v>
      </c>
      <c r="F13" s="15" t="n">
        <v>1</v>
      </c>
      <c r="G13" s="15" t="n">
        <v>3</v>
      </c>
      <c r="H13" s="16">
        <f>IF(MAX(C13:G13)=0,"—",INDEX($C$7:$G$7,MATCH(I13,C13:G13,0)))</f>
        <v/>
      </c>
      <c r="I13" s="15">
        <f>MAX(C13:G13)</f>
        <v/>
      </c>
      <c r="J13" s="17">
        <f>B13*I13</f>
        <v/>
      </c>
      <c r="K13" s="18">
        <f>J13*12*$C$5/100</f>
        <v/>
      </c>
    </row>
    <row r="14">
      <c r="A14" s="13" t="inlineStr">
        <is>
          <t>Transit / Rideshare</t>
        </is>
      </c>
      <c r="B14" s="14" t="n">
        <v>120</v>
      </c>
      <c r="C14" s="15" t="n">
        <v>3</v>
      </c>
      <c r="D14" s="15" t="n">
        <v>3</v>
      </c>
      <c r="E14" s="15" t="n">
        <v>1</v>
      </c>
      <c r="F14" s="15" t="n">
        <v>1</v>
      </c>
      <c r="G14" s="15" t="n">
        <v>1</v>
      </c>
      <c r="H14" s="16">
        <f>IF(MAX(C14:G14)=0,"—",INDEX($C$7:$G$7,MATCH(I14,C14:G14,0)))</f>
        <v/>
      </c>
      <c r="I14" s="15">
        <f>MAX(C14:G14)</f>
        <v/>
      </c>
      <c r="J14" s="17">
        <f>B14*I14</f>
        <v/>
      </c>
      <c r="K14" s="18">
        <f>J14*12*$C$5/100</f>
        <v/>
      </c>
    </row>
    <row r="15">
      <c r="A15" s="13" t="inlineStr">
        <is>
          <t>Online retail</t>
        </is>
      </c>
      <c r="B15" s="14" t="n">
        <v>300</v>
      </c>
      <c r="C15" s="15" t="n">
        <v>1</v>
      </c>
      <c r="D15" s="15" t="n">
        <v>1</v>
      </c>
      <c r="E15" s="15" t="n">
        <v>2</v>
      </c>
      <c r="F15" s="15" t="n">
        <v>1</v>
      </c>
      <c r="G15" s="15" t="n">
        <v>4</v>
      </c>
      <c r="H15" s="16">
        <f>IF(MAX(C15:G15)=0,"—",INDEX($C$7:$G$7,MATCH(I15,C15:G15,0)))</f>
        <v/>
      </c>
      <c r="I15" s="15">
        <f>MAX(C15:G15)</f>
        <v/>
      </c>
      <c r="J15" s="17">
        <f>B15*I15</f>
        <v/>
      </c>
      <c r="K15" s="18">
        <f>J15*12*$C$5/100</f>
        <v/>
      </c>
    </row>
    <row r="16">
      <c r="A16" s="13" t="inlineStr">
        <is>
          <t>Streaming / Subscriptions</t>
        </is>
      </c>
      <c r="B16" s="14" t="n">
        <v>60</v>
      </c>
      <c r="C16" s="15" t="n">
        <v>4</v>
      </c>
      <c r="D16" s="15" t="n">
        <v>1</v>
      </c>
      <c r="E16" s="15" t="n">
        <v>1</v>
      </c>
      <c r="F16" s="15" t="n">
        <v>1</v>
      </c>
      <c r="G16" s="15" t="n">
        <v>1</v>
      </c>
      <c r="H16" s="16">
        <f>IF(MAX(C16:G16)=0,"—",INDEX($C$7:$G$7,MATCH(I16,C16:G16,0)))</f>
        <v/>
      </c>
      <c r="I16" s="15">
        <f>MAX(C16:G16)</f>
        <v/>
      </c>
      <c r="J16" s="17">
        <f>B16*I16</f>
        <v/>
      </c>
      <c r="K16" s="18">
        <f>J16*12*$C$5/100</f>
        <v/>
      </c>
    </row>
    <row r="17">
      <c r="A17" s="13" t="inlineStr">
        <is>
          <t>Everything else</t>
        </is>
      </c>
      <c r="B17" s="14" t="n">
        <v>800</v>
      </c>
      <c r="C17" s="15" t="n">
        <v>1</v>
      </c>
      <c r="D17" s="15" t="n">
        <v>1</v>
      </c>
      <c r="E17" s="15" t="n">
        <v>1</v>
      </c>
      <c r="F17" s="15" t="n">
        <v>2</v>
      </c>
      <c r="G17" s="15" t="n">
        <v>1.5</v>
      </c>
      <c r="H17" s="16">
        <f>IF(MAX(C17:G17)=0,"—",INDEX($C$7:$G$7,MATCH(I17,C17:G17,0)))</f>
        <v/>
      </c>
      <c r="I17" s="15">
        <f>MAX(C17:G17)</f>
        <v/>
      </c>
      <c r="J17" s="17">
        <f>B17*I17</f>
        <v/>
      </c>
      <c r="K17" s="18">
        <f>J17*12*$C$5/100</f>
        <v/>
      </c>
    </row>
    <row r="18">
      <c r="A18" s="19" t="n"/>
      <c r="B18" s="20" t="n"/>
      <c r="C18" s="21" t="n"/>
      <c r="D18" s="21" t="n"/>
      <c r="E18" s="21" t="n"/>
      <c r="F18" s="21" t="n"/>
      <c r="G18" s="21" t="n"/>
      <c r="H18" s="19">
        <f>IF(A18="","",IF(MAX(C18:G18)=0,"—",INDEX($C$7:$G$7,MATCH(I18,C18:G18,0))))</f>
        <v/>
      </c>
      <c r="I18" s="21">
        <f>IF(A18="","",MAX(C18:G18))</f>
        <v/>
      </c>
      <c r="J18" s="22">
        <f>IF(A18="","",B18*I18)</f>
        <v/>
      </c>
      <c r="K18" s="20">
        <f>IF(A18="","",J18*12*$C$5/100)</f>
        <v/>
      </c>
    </row>
    <row r="19">
      <c r="A19" s="19" t="n"/>
      <c r="B19" s="20" t="n"/>
      <c r="C19" s="21" t="n"/>
      <c r="D19" s="21" t="n"/>
      <c r="E19" s="21" t="n"/>
      <c r="F19" s="21" t="n"/>
      <c r="G19" s="21" t="n"/>
      <c r="H19" s="19">
        <f>IF(A19="","",IF(MAX(C19:G19)=0,"—",INDEX($C$7:$G$7,MATCH(I19,C19:G19,0))))</f>
        <v/>
      </c>
      <c r="I19" s="21">
        <f>IF(A19="","",MAX(C19:G19))</f>
        <v/>
      </c>
      <c r="J19" s="22">
        <f>IF(A19="","",B19*I19)</f>
        <v/>
      </c>
      <c r="K19" s="20">
        <f>IF(A19="","",J19*12*$C$5/100)</f>
        <v/>
      </c>
    </row>
    <row r="20">
      <c r="A20" s="19" t="n"/>
      <c r="B20" s="20" t="n"/>
      <c r="C20" s="21" t="n"/>
      <c r="D20" s="21" t="n"/>
      <c r="E20" s="21" t="n"/>
      <c r="F20" s="21" t="n"/>
      <c r="G20" s="21" t="n"/>
      <c r="H20" s="19">
        <f>IF(A20="","",IF(MAX(C20:G20)=0,"—",INDEX($C$7:$G$7,MATCH(I20,C20:G20,0))))</f>
        <v/>
      </c>
      <c r="I20" s="21">
        <f>IF(A20="","",MAX(C20:G20))</f>
        <v/>
      </c>
      <c r="J20" s="22">
        <f>IF(A20="","",B20*I20)</f>
        <v/>
      </c>
      <c r="K20" s="20">
        <f>IF(A20="","",J20*12*$C$5/100)</f>
        <v/>
      </c>
    </row>
    <row r="21">
      <c r="A21" s="19" t="n"/>
      <c r="B21" s="20" t="n"/>
      <c r="C21" s="21" t="n"/>
      <c r="D21" s="21" t="n"/>
      <c r="E21" s="21" t="n"/>
      <c r="F21" s="21" t="n"/>
      <c r="G21" s="21" t="n"/>
      <c r="H21" s="19">
        <f>IF(A21="","",IF(MAX(C21:G21)=0,"—",INDEX($C$7:$G$7,MATCH(I21,C21:G21,0))))</f>
        <v/>
      </c>
      <c r="I21" s="21">
        <f>IF(A21="","",MAX(C21:G21))</f>
        <v/>
      </c>
      <c r="J21" s="22">
        <f>IF(A21="","",B21*I21)</f>
        <v/>
      </c>
      <c r="K21" s="20">
        <f>IF(A21="","",J21*12*$C$5/100)</f>
        <v/>
      </c>
    </row>
    <row r="22">
      <c r="A22" s="19" t="n"/>
      <c r="B22" s="20" t="n"/>
      <c r="C22" s="21" t="n"/>
      <c r="D22" s="21" t="n"/>
      <c r="E22" s="21" t="n"/>
      <c r="F22" s="21" t="n"/>
      <c r="G22" s="21" t="n"/>
      <c r="H22" s="19">
        <f>IF(A22="","",IF(MAX(C22:G22)=0,"—",INDEX($C$7:$G$7,MATCH(I22,C22:G22,0))))</f>
        <v/>
      </c>
      <c r="I22" s="21">
        <f>IF(A22="","",MAX(C22:G22))</f>
        <v/>
      </c>
      <c r="J22" s="22">
        <f>IF(A22="","",B22*I22)</f>
        <v/>
      </c>
      <c r="K22" s="20">
        <f>IF(A22="","",J22*12*$C$5/100)</f>
        <v/>
      </c>
    </row>
    <row r="23">
      <c r="A23" s="9" t="inlineStr">
        <is>
          <t>ESTIMATED ANNUAL REWARDS</t>
        </is>
      </c>
      <c r="K23" s="23">
        <f>SUM(K8:K22)</f>
        <v/>
      </c>
    </row>
  </sheetData>
  <mergeCells count="4">
    <mergeCell ref="A2:K2"/>
    <mergeCell ref="A1:K1"/>
    <mergeCell ref="A5:B5"/>
    <mergeCell ref="A3:K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2026-07-21T13:54:39Z</dcterms:created>
  <dcterms:modified xmlns:dcterms="http://purl.org/dc/terms/" xmlns:xsi="http://www.w3.org/2001/XMLSchema-instance" xsi:type="dcterms:W3CDTF">2026-07-21T13:54:39Z</dcterms:modified>
</cp:coreProperties>
</file>