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xr:revisionPtr revIDLastSave="0" documentId="8_{082C5A77-12D8-654D-9298-7F8B0B729141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Read Me" sheetId="1" r:id="rId1"/>
    <sheet name="Summary" sheetId="2" r:id="rId2"/>
    <sheet name="Fee ROI" sheetId="3" r:id="rId3"/>
  </sheets>
  <definedNames>
    <definedName name="_xlnm.Print_Area" localSheetId="2">'Fee ROI'!$A$1:$M$18</definedName>
    <definedName name="_xlnm.Print_Area" localSheetId="0">'Read Me'!$A$1:$B$15</definedName>
    <definedName name="_xlnm.Print_Area" localSheetId="1">Summary!$A$1:$D$33</definedName>
    <definedName name="_xlnm.Print_Titles" localSheetId="2">'Fee ROI'!$5:$5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M17" i="3"/>
  <c r="L17" i="3"/>
  <c r="K17" i="3"/>
  <c r="J17" i="3"/>
  <c r="M16" i="3"/>
  <c r="L16" i="3"/>
  <c r="K16" i="3"/>
  <c r="J16" i="3"/>
  <c r="M15" i="3"/>
  <c r="L15" i="3"/>
  <c r="K15" i="3"/>
  <c r="J15" i="3"/>
  <c r="M14" i="3"/>
  <c r="L14" i="3"/>
  <c r="K14" i="3"/>
  <c r="J14" i="3"/>
  <c r="M13" i="3"/>
  <c r="L13" i="3"/>
  <c r="K13" i="3"/>
  <c r="J13" i="3"/>
  <c r="M12" i="3"/>
  <c r="L12" i="3"/>
  <c r="K12" i="3"/>
  <c r="J12" i="3"/>
  <c r="M11" i="3"/>
  <c r="L11" i="3"/>
  <c r="K11" i="3"/>
  <c r="J11" i="3"/>
  <c r="M10" i="3"/>
  <c r="L10" i="3"/>
  <c r="K10" i="3"/>
  <c r="J10" i="3"/>
  <c r="J9" i="3"/>
  <c r="K9" i="3" s="1"/>
  <c r="J8" i="3"/>
  <c r="K8" i="3" s="1"/>
  <c r="J7" i="3"/>
  <c r="K7" i="3" s="1"/>
  <c r="J6" i="3"/>
  <c r="C6" i="2"/>
  <c r="C5" i="2"/>
  <c r="J18" i="3" l="1"/>
  <c r="C7" i="2" s="1"/>
  <c r="L8" i="3"/>
  <c r="M8" i="3"/>
  <c r="M7" i="3"/>
  <c r="L7" i="3"/>
  <c r="M9" i="3"/>
  <c r="L9" i="3"/>
  <c r="K6" i="3"/>
  <c r="K18" i="3" l="1"/>
  <c r="C8" i="2" s="1"/>
  <c r="C13" i="2"/>
  <c r="M6" i="3"/>
  <c r="L6" i="3"/>
  <c r="C12" i="2"/>
  <c r="C11" i="2" l="1"/>
  <c r="C10" i="2"/>
  <c r="C9" i="2"/>
</calcChain>
</file>

<file path=xl/sharedStrings.xml><?xml version="1.0" encoding="utf-8"?>
<sst xmlns="http://schemas.openxmlformats.org/spreadsheetml/2006/main" count="48" uniqueCount="45">
  <si>
    <t>Annual-Fee ROI Calculator</t>
  </si>
  <si>
    <t>How to use this template</t>
  </si>
  <si>
    <t>Travel &amp; Finance  ·  travelfinancetips.com</t>
  </si>
  <si>
    <t>What this does</t>
  </si>
  <si>
    <t>Tells you—per card—whether the perks &amp; credits you ACTUALLY use outweigh the annual fee, so you keep the winners and cancel/downgrade the losers before the next fee posts.</t>
  </si>
  <si>
    <t>How to use it (2 minutes per card)</t>
  </si>
  <si>
    <t>1.  Go to the 'Fee ROI' tab. Replace the example rows with YOUR cards.</t>
  </si>
  <si>
    <t>2.  Enter the annual fee, then the DOLLAR value of each credit/perk you truly used this year (be honest—count only what you'd have spent anyway).</t>
  </si>
  <si>
    <t>3.  Add the cash value of the points/cashback you earned on the card.</t>
  </si>
  <si>
    <t>4.  Read the Verdict column: ✅ KEEP, ⚠️ BORDERLINE, or ❌ RECONSIDER (downgrade or product-change).</t>
  </si>
  <si>
    <t>Rule of thumb: value only the credits you'd spend regardless. A $200 'travel credit' you had to manufacture spend for is worth less than $200 to you.</t>
  </si>
  <si>
    <t>Before you cancel</t>
  </si>
  <si>
    <t>Call the issuer and ask for a retention offer, or product-change to a no-fee version to keep your account age &amp; credit line. Never cancel your oldest card.</t>
  </si>
  <si>
    <t>Educational tool, not financial advice. Verify each card's current terms with the issuer. © Travel &amp; Finance · travelfinancetips.com</t>
  </si>
  <si>
    <t>Your Annual-Fee Scorecard</t>
  </si>
  <si>
    <t>Updates as you fill in the Fee ROI tab.</t>
  </si>
  <si>
    <t>Cards entered</t>
  </si>
  <si>
    <t>Total annual fees</t>
  </si>
  <si>
    <t>Total value you actually use</t>
  </si>
  <si>
    <t>Net value (value − fees)</t>
  </si>
  <si>
    <t>Cards worth keeping</t>
  </si>
  <si>
    <t>Borderline</t>
  </si>
  <si>
    <t>Reconsider / downgrade</t>
  </si>
  <si>
    <t>Best card (highest net value)</t>
  </si>
  <si>
    <t>Weakest card (lowest net value)</t>
  </si>
  <si>
    <t>Count only credits you would have spent anyway. A credit you never use is worth $0.</t>
  </si>
  <si>
    <t>Enter each card once a year — keep the winners, cut the losers.</t>
  </si>
  <si>
    <t>Card Name</t>
  </si>
  <si>
    <t>Annual
Fee</t>
  </si>
  <si>
    <t>Travel/
Airline Credit</t>
  </si>
  <si>
    <t>Dining/
Food Credit</t>
  </si>
  <si>
    <t>Statement/
Shop Credits</t>
  </si>
  <si>
    <t>Free Night /
Anniversary</t>
  </si>
  <si>
    <t>Lounge
Value</t>
  </si>
  <si>
    <t>Other
Perks</t>
  </si>
  <si>
    <t>Points/CB
Value ($/yr)</t>
  </si>
  <si>
    <t>Total Value
Captured</t>
  </si>
  <si>
    <t>Net Value
(Value − Fee)</t>
  </si>
  <si>
    <t>Verdict</t>
  </si>
  <si>
    <t>ROI
%</t>
  </si>
  <si>
    <t>Premium Travel (Plat-tier)</t>
  </si>
  <si>
    <t>Mid Travel (Sapphire-tier)</t>
  </si>
  <si>
    <t>Hotel Card (w/ Free Night)</t>
  </si>
  <si>
    <t>Airline Card (low use)</t>
  </si>
  <si>
    <t>PORTFOLIO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</si>
</sst>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&quot;$&quot;#,##0"/>
    <numFmt numFmtId="166" formatCode="&quot;$&quot;#,##0;[Red]\-&quot;$&quot;#,##0"/>
  </numFmts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Georgia"/>
    </font>
    <font>
      <sz val="10"/>
      <color rgb="FFD5DBE7"/>
      <name val="Arial"/>
    </font>
    <font>
      <b/>
      <sz val="9"/>
      <color rgb="FFC8A24A"/>
      <name val="Arial"/>
    </font>
    <font>
      <b/>
      <sz val="13"/>
      <color rgb="FF0F1E3D"/>
      <name val="Arial"/>
    </font>
    <font>
      <sz val="11"/>
      <color rgb="FF1B2333"/>
      <name val="Arial"/>
    </font>
    <font>
      <b/>
      <sz val="10"/>
      <color rgb="FF0E7C7B"/>
      <name val="Arial"/>
    </font>
    <font>
      <i/>
      <sz val="9"/>
      <color rgb="FF616B7D"/>
      <name val="Arial"/>
    </font>
    <font>
      <b/>
      <sz val="11"/>
      <color rgb="FF0F1E3D"/>
      <name val="Arial"/>
    </font>
    <font>
      <b/>
      <sz val="14"/>
      <color rgb="FF0F1E3D"/>
      <name val="Georgia"/>
    </font>
    <font>
      <i/>
      <sz val="9"/>
      <color rgb="FF5A6B7A"/>
      <name val="Arial"/>
    </font>
    <font>
      <b/>
      <sz val="10"/>
      <color rgb="FFFFFFFF"/>
      <name val="Arial"/>
    </font>
    <font>
      <b/>
      <sz val="11"/>
      <color rgb="FF1B2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0F1E3D"/>
      </patternFill>
    </fill>
    <fill>
      <patternFill patternType="solid">
        <fgColor rgb="FFF4F6FA"/>
      </patternFill>
    </fill>
    <fill>
      <patternFill patternType="solid">
        <fgColor rgb="FF16294F"/>
      </patternFill>
    </fill>
  </fills>
  <borders count="4">
    <border>
      <left/>
      <right/>
      <top/>
      <bottom/>
      <diagonal/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  <border>
      <left style="thin">
        <color rgb="FFE7EBF2"/>
      </left>
      <right style="thin">
        <color rgb="FFE7EBF2"/>
      </right>
      <top style="thin">
        <color rgb="FFE7EBF2"/>
      </top>
      <bottom style="thin">
        <color rgb="FFE7EBF2"/>
      </bottom>
      <diagonal/>
    </border>
    <border>
      <left style="thin">
        <color rgb="FF16294F"/>
      </left>
      <right style="thin">
        <color rgb="FF16294F"/>
      </right>
      <top style="thin">
        <color rgb="FF16294F"/>
      </top>
      <bottom style="medium">
        <color rgb="FFC8A24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8" fillId="3" borderId="2" xfId="0" applyFont="1" applyFill="1" applyBorder="1" applyAlignment="1">
      <alignment vertical="center"/>
    </xf>
    <xf numFmtId="1" fontId="9" fillId="3" borderId="2" xfId="0" applyNumberFormat="1" applyFont="1" applyFill="1" applyBorder="1" applyAlignment="1">
      <alignment horizontal="right" vertical="center" shrinkToFit="1"/>
    </xf>
    <xf numFmtId="165" fontId="9" fillId="3" borderId="2" xfId="0" applyNumberFormat="1" applyFont="1" applyFill="1" applyBorder="1" applyAlignment="1">
      <alignment horizontal="right" vertical="center" shrinkToFit="1"/>
    </xf>
    <xf numFmtId="166" fontId="9" fillId="3" borderId="2" xfId="0" applyNumberFormat="1" applyFont="1" applyFill="1" applyBorder="1" applyAlignment="1">
      <alignment horizontal="right" vertical="center" shrinkToFit="1"/>
    </xf>
    <xf numFmtId="49" fontId="9" fillId="3" borderId="2" xfId="0" applyNumberFormat="1" applyFont="1" applyFill="1" applyBorder="1" applyAlignment="1">
      <alignment horizontal="right" vertical="center" shrinkToFit="1"/>
    </xf>
    <xf numFmtId="0" fontId="10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/>
    <xf numFmtId="164" fontId="8" fillId="0" borderId="0" xfId="0" applyNumberFormat="1" applyFont="1"/>
    <xf numFmtId="0" fontId="3" fillId="2" borderId="0" xfId="0" applyFont="1" applyFill="1" applyAlignment="1">
      <alignment horizontal="left" vertical="center" wrapText="1"/>
    </xf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5">
    <dxf>
      <font>
        <b/>
        <color rgb="FF9B1C1C"/>
      </font>
      <fill>
        <patternFill patternType="solid">
          <fgColor rgb="FFFBE0E0"/>
        </patternFill>
      </fill>
    </dxf>
    <dxf>
      <font>
        <b/>
        <color rgb="FF8A5A00"/>
      </font>
      <fill>
        <patternFill patternType="solid">
          <fgColor rgb="FFFFF1CC"/>
        </patternFill>
      </fill>
    </dxf>
    <dxf>
      <font>
        <b/>
        <color rgb="FF1E6B34"/>
      </font>
      <fill>
        <patternFill patternType="solid">
          <fgColor rgb="FFDFF3E4"/>
        </patternFill>
      </fill>
    </dxf>
    <dxf>
      <font>
        <b/>
        <color rgb="FF1E6B34"/>
      </font>
    </dxf>
    <dxf>
      <font>
        <b/>
        <color rgb="FF9B1C1C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Fee vs value you actually used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Annual fee</c:v>
          </c:tx>
          <c:spPr>
            <a:solidFill>
              <a:srgbClr val="0F1E3D"/>
            </a:solidFill>
            <a:ln>
              <a:solidFill>
                <a:srgbClr val="0F1E3D"/>
              </a:solidFill>
              <a:prstDash val="solid"/>
            </a:ln>
          </c:spPr>
          <c:invertIfNegative val="1"/>
          <c:cat>
            <c:strRef>
              <c:f>'Fee ROI'!$A$6:$A$17</c:f>
              <c:strCache>
                <c:ptCount val="4"/>
                <c:pt idx="0">
                  <c:v>Premium Travel (Plat-tier)</c:v>
                </c:pt>
                <c:pt idx="1">
                  <c:v>Mid Travel (Sapphire-tier)</c:v>
                </c:pt>
                <c:pt idx="2">
                  <c:v>Hotel Card (w/ Free Night)</c:v>
                </c:pt>
                <c:pt idx="3">
                  <c:v>Airline Card (low use)</c:v>
                </c:pt>
              </c:strCache>
            </c:strRef>
          </c:cat>
          <c:val>
            <c:numRef>
              <c:f>'Fee ROI'!$B$6:$B$17</c:f>
              <c:numCache>
                <c:formatCode>\$#,##0</c:formatCode>
                <c:ptCount val="12"/>
                <c:pt idx="0">
                  <c:v>895</c:v>
                </c:pt>
                <c:pt idx="1">
                  <c:v>550</c:v>
                </c:pt>
                <c:pt idx="2">
                  <c:v>250</c:v>
                </c:pt>
                <c:pt idx="3">
                  <c:v>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F1E3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BDC-BE4B-B178-44F2C7A4AB1C}"/>
            </c:ext>
          </c:extLst>
        </c:ser>
        <c:ser>
          <c:idx val="1"/>
          <c:order val="1"/>
          <c:tx>
            <c:v>Value captured</c:v>
          </c:tx>
          <c:spPr>
            <a:solidFill>
              <a:srgbClr val="C8A24A"/>
            </a:solidFill>
            <a:ln>
              <a:solidFill>
                <a:srgbClr val="C8A24A"/>
              </a:solidFill>
              <a:prstDash val="solid"/>
            </a:ln>
          </c:spPr>
          <c:invertIfNegative val="1"/>
          <c:cat>
            <c:strRef>
              <c:f>'Fee ROI'!$A$6:$A$17</c:f>
              <c:strCache>
                <c:ptCount val="4"/>
                <c:pt idx="0">
                  <c:v>Premium Travel (Plat-tier)</c:v>
                </c:pt>
                <c:pt idx="1">
                  <c:v>Mid Travel (Sapphire-tier)</c:v>
                </c:pt>
                <c:pt idx="2">
                  <c:v>Hotel Card (w/ Free Night)</c:v>
                </c:pt>
                <c:pt idx="3">
                  <c:v>Airline Card (low use)</c:v>
                </c:pt>
              </c:strCache>
            </c:strRef>
          </c:cat>
          <c:val>
            <c:numRef>
              <c:f>'Fee ROI'!$J$6:$J$17</c:f>
              <c:numCache>
                <c:formatCode>\$#,##0</c:formatCode>
                <c:ptCount val="12"/>
                <c:pt idx="0">
                  <c:v>1783</c:v>
                </c:pt>
                <c:pt idx="1">
                  <c:v>1120</c:v>
                </c:pt>
                <c:pt idx="2">
                  <c:v>350</c:v>
                </c:pt>
                <c:pt idx="3">
                  <c:v>65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8A24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BDC-BE4B-B178-44F2C7A4A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\$#,##0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504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8A24A"/>
    <pageSetUpPr fitToPage="1"/>
  </sheetPr>
  <dimension ref="A1:B15"/>
  <sheetViews>
    <sheetView showGridLines="0" tabSelected="1" workbookViewId="0">
      <selection sqref="A1:B1"/>
    </sheetView>
  </sheetViews>
  <sheetFormatPr baseColWidth="10" defaultColWidth="8.83203125" defaultRowHeight="15" x14ac:dyDescent="0.2"/>
  <cols>
    <col min="1" max="1" width="3" customWidth="1"/>
    <col min="2" max="2" width="96" customWidth="1"/>
  </cols>
  <sheetData>
    <row r="1" spans="1:2" ht="30" customHeight="1" x14ac:dyDescent="0.2">
      <c r="A1" s="28" t="s">
        <v>0</v>
      </c>
      <c r="B1" s="26"/>
    </row>
    <row r="2" spans="1:2" ht="18" customHeight="1" x14ac:dyDescent="0.2">
      <c r="A2" s="27" t="s">
        <v>1</v>
      </c>
      <c r="B2" s="26"/>
    </row>
    <row r="3" spans="1:2" ht="16" customHeight="1" x14ac:dyDescent="0.2">
      <c r="A3" s="25" t="s">
        <v>2</v>
      </c>
      <c r="B3" s="26"/>
    </row>
    <row r="5" spans="1:2" ht="20" customHeight="1" x14ac:dyDescent="0.2">
      <c r="B5" s="3" t="s">
        <v>3</v>
      </c>
    </row>
    <row r="6" spans="1:2" ht="30" customHeight="1" x14ac:dyDescent="0.2">
      <c r="B6" s="4" t="s">
        <v>4</v>
      </c>
    </row>
    <row r="7" spans="1:2" ht="20" customHeight="1" x14ac:dyDescent="0.2">
      <c r="B7" s="3" t="s">
        <v>5</v>
      </c>
    </row>
    <row r="8" spans="1:2" ht="30" customHeight="1" x14ac:dyDescent="0.2">
      <c r="B8" s="4" t="s">
        <v>6</v>
      </c>
    </row>
    <row r="9" spans="1:2" ht="30" customHeight="1" x14ac:dyDescent="0.2">
      <c r="B9" s="4" t="s">
        <v>7</v>
      </c>
    </row>
    <row r="10" spans="1:2" ht="30" customHeight="1" x14ac:dyDescent="0.2">
      <c r="B10" s="4" t="s">
        <v>8</v>
      </c>
    </row>
    <row r="11" spans="1:2" ht="30" customHeight="1" x14ac:dyDescent="0.2">
      <c r="B11" s="4" t="s">
        <v>9</v>
      </c>
    </row>
    <row r="12" spans="1:2" ht="20" customHeight="1" x14ac:dyDescent="0.2">
      <c r="B12" s="5" t="s">
        <v>10</v>
      </c>
    </row>
    <row r="13" spans="1:2" ht="20" customHeight="1" x14ac:dyDescent="0.2">
      <c r="B13" s="3" t="s">
        <v>11</v>
      </c>
    </row>
    <row r="14" spans="1:2" ht="30" customHeight="1" x14ac:dyDescent="0.2">
      <c r="B14" s="4" t="s">
        <v>12</v>
      </c>
    </row>
    <row r="15" spans="1:2" ht="20" customHeight="1" x14ac:dyDescent="0.2">
      <c r="B15" s="6" t="s">
        <v>13</v>
      </c>
    </row>
  </sheetData>
  <mergeCells count="3">
    <mergeCell ref="A3:B3"/>
    <mergeCell ref="A2:B2"/>
    <mergeCell ref="A1:B1"/>
  </mergeCells>
  <printOptions horizontalCentered="1"/>
  <pageMargins left="0.4" right="0.4" top="0.5" bottom="0.6" header="0.5" footer="0.5"/>
  <pageSetup orientation="landscape"/>
  <headerFooter>
    <oddFooter>&amp;L&amp;"Arial"&amp;8 Travel &amp; Finance Tips  ·  travelfinancetips.com&amp;R&amp;"Arial"&amp;8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A24A"/>
    <pageSetUpPr fitToPage="1"/>
  </sheetPr>
  <dimension ref="A1:D15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38" customWidth="1"/>
    <col min="3" max="3" width="22" customWidth="1"/>
    <col min="4" max="4" width="30" customWidth="1"/>
  </cols>
  <sheetData>
    <row r="1" spans="1:4" ht="26" customHeight="1" x14ac:dyDescent="0.25">
      <c r="A1" s="7" t="s">
        <v>14</v>
      </c>
      <c r="B1" s="7"/>
      <c r="C1" s="7"/>
      <c r="D1" s="7"/>
    </row>
    <row r="2" spans="1:4" x14ac:dyDescent="0.2">
      <c r="A2" s="8" t="s">
        <v>15</v>
      </c>
      <c r="B2" s="8"/>
      <c r="C2" s="8"/>
      <c r="D2" s="8"/>
    </row>
    <row r="3" spans="1:4" x14ac:dyDescent="0.2">
      <c r="A3" s="9" t="s">
        <v>2</v>
      </c>
      <c r="B3" s="9"/>
      <c r="C3" s="9"/>
      <c r="D3" s="9"/>
    </row>
    <row r="5" spans="1:4" ht="24" customHeight="1" x14ac:dyDescent="0.2">
      <c r="B5" s="10" t="s">
        <v>16</v>
      </c>
      <c r="C5" s="11">
        <f>COUNTA('Fee ROI'!A6:A17)</f>
        <v>4</v>
      </c>
    </row>
    <row r="6" spans="1:4" ht="24" customHeight="1" x14ac:dyDescent="0.2">
      <c r="B6" s="10" t="s">
        <v>17</v>
      </c>
      <c r="C6" s="12">
        <f>'Fee ROI'!B18</f>
        <v>1794</v>
      </c>
    </row>
    <row r="7" spans="1:4" ht="24" customHeight="1" x14ac:dyDescent="0.2">
      <c r="B7" s="10" t="s">
        <v>18</v>
      </c>
      <c r="C7" s="12">
        <f>'Fee ROI'!J18</f>
        <v>3318</v>
      </c>
    </row>
    <row r="8" spans="1:4" ht="24" customHeight="1" x14ac:dyDescent="0.2">
      <c r="B8" s="10" t="s">
        <v>19</v>
      </c>
      <c r="C8" s="13">
        <f>'Fee ROI'!K18</f>
        <v>1524</v>
      </c>
    </row>
    <row r="9" spans="1:4" ht="24" customHeight="1" x14ac:dyDescent="0.2">
      <c r="B9" s="10" t="s">
        <v>20</v>
      </c>
      <c r="C9" s="11">
        <f>COUNTIF('Fee ROI'!L6:L17,"*KEEP*")</f>
        <v>3</v>
      </c>
    </row>
    <row r="10" spans="1:4" ht="24" customHeight="1" x14ac:dyDescent="0.2">
      <c r="B10" s="10" t="s">
        <v>21</v>
      </c>
      <c r="C10" s="11">
        <f>COUNTIF('Fee ROI'!L6:L17,"*BORDERLINE*")</f>
        <v>1</v>
      </c>
    </row>
    <row r="11" spans="1:4" ht="24" customHeight="1" x14ac:dyDescent="0.2">
      <c r="B11" s="10" t="s">
        <v>22</v>
      </c>
      <c r="C11" s="11">
        <f>COUNTIF('Fee ROI'!L6:L17,"*RECONSIDER*")</f>
        <v>0</v>
      </c>
    </row>
    <row r="12" spans="1:4" ht="24" customHeight="1" x14ac:dyDescent="0.2">
      <c r="B12" s="10" t="s">
        <v>23</v>
      </c>
      <c r="C12" s="14" t="str">
        <f>IF(COUNTA('Fee ROI'!A6:A17)=0,"—",INDEX('Fee ROI'!A6:A17,MATCH(MAX('Fee ROI'!K6:K17),'Fee ROI'!K6:K17,0)))</f>
        <v>Premium Travel (Plat-tier)</v>
      </c>
    </row>
    <row r="13" spans="1:4" ht="24" customHeight="1" x14ac:dyDescent="0.2">
      <c r="B13" s="10" t="s">
        <v>24</v>
      </c>
      <c r="C13" s="14" t="str">
        <f>IF(COUNTA('Fee ROI'!A6:A17)=0,"—",INDEX('Fee ROI'!A6:A17,MATCH(MIN('Fee ROI'!K6:K17),'Fee ROI'!K6:K17,0)))</f>
        <v>Airline Card (low use)</v>
      </c>
    </row>
    <row r="15" spans="1:4" x14ac:dyDescent="0.2">
      <c r="B15" s="15" t="s">
        <v>25</v>
      </c>
    </row>
  </sheetData>
  <printOptions horizontalCentered="1"/>
  <pageMargins left="0.4" right="0.4" top="0.5" bottom="0.6" header="0.5" footer="0.5"/>
  <pageSetup orientation="landscape"/>
  <headerFooter>
    <oddFooter>&amp;L&amp;"Arial"&amp;8 Travel &amp; Finance Tips  ·  travelfinancetips.com&amp;R&amp;"Arial"&amp;8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294F"/>
    <pageSetUpPr fitToPage="1"/>
  </sheetPr>
  <dimension ref="A1:M18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9" customWidth="1"/>
    <col min="3" max="5" width="12" customWidth="1"/>
    <col min="6" max="6" width="13" customWidth="1"/>
    <col min="7" max="8" width="10" customWidth="1"/>
    <col min="9" max="11" width="12" customWidth="1"/>
    <col min="12" max="12" width="15" customWidth="1"/>
    <col min="13" max="13" width="7" customWidth="1"/>
  </cols>
  <sheetData>
    <row r="1" spans="1:13" ht="30" customHeight="1" x14ac:dyDescent="0.2">
      <c r="A1" s="28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18" customHeight="1" x14ac:dyDescent="0.2">
      <c r="A2" s="27" t="s">
        <v>26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16" customHeight="1" x14ac:dyDescent="0.2">
      <c r="A3" s="25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5" spans="1:13" ht="42" customHeight="1" x14ac:dyDescent="0.2">
      <c r="A5" s="16" t="s">
        <v>27</v>
      </c>
      <c r="B5" s="16" t="s">
        <v>28</v>
      </c>
      <c r="C5" s="16" t="s">
        <v>29</v>
      </c>
      <c r="D5" s="16" t="s">
        <v>30</v>
      </c>
      <c r="E5" s="16" t="s">
        <v>31</v>
      </c>
      <c r="F5" s="16" t="s">
        <v>32</v>
      </c>
      <c r="G5" s="16" t="s">
        <v>33</v>
      </c>
      <c r="H5" s="16" t="s">
        <v>34</v>
      </c>
      <c r="I5" s="16" t="s">
        <v>35</v>
      </c>
      <c r="J5" s="16" t="s">
        <v>36</v>
      </c>
      <c r="K5" s="16" t="s">
        <v>37</v>
      </c>
      <c r="L5" s="16" t="s">
        <v>38</v>
      </c>
      <c r="M5" s="16" t="s">
        <v>39</v>
      </c>
    </row>
    <row r="6" spans="1:13" x14ac:dyDescent="0.2">
      <c r="A6" s="17" t="s">
        <v>40</v>
      </c>
      <c r="B6" s="18">
        <v>895</v>
      </c>
      <c r="C6" s="18">
        <v>200</v>
      </c>
      <c r="D6" s="18">
        <v>324</v>
      </c>
      <c r="E6" s="18">
        <v>240</v>
      </c>
      <c r="F6" s="18">
        <v>0</v>
      </c>
      <c r="G6" s="18">
        <v>469</v>
      </c>
      <c r="H6" s="18">
        <v>300</v>
      </c>
      <c r="I6" s="18">
        <v>250</v>
      </c>
      <c r="J6" s="19">
        <f t="shared" ref="J6:J17" si="0">IF(A6="","",SUM(C6:I6))</f>
        <v>1783</v>
      </c>
      <c r="K6" s="19">
        <f t="shared" ref="K6:K17" si="1">IF(A6="","",J6-B6)</f>
        <v>888</v>
      </c>
      <c r="L6" s="20" t="str">
        <f t="shared" ref="L6:L17" si="2">IF(A6="","",IF(K6&gt;=0,"✅ KEEP",IF(K6&gt;=-50,"⚠️ BORDERLINE","❌ RECONSIDER")))</f>
        <v>✅ KEEP</v>
      </c>
      <c r="M6" s="21">
        <f t="shared" ref="M6:M17" si="3">IF(A6="","",IF(B6=0,"—",K6/B6))</f>
        <v>0.99217877094972062</v>
      </c>
    </row>
    <row r="7" spans="1:13" x14ac:dyDescent="0.2">
      <c r="A7" s="17" t="s">
        <v>41</v>
      </c>
      <c r="B7" s="18">
        <v>550</v>
      </c>
      <c r="C7" s="18">
        <v>300</v>
      </c>
      <c r="D7" s="18">
        <v>0</v>
      </c>
      <c r="E7" s="18">
        <v>0</v>
      </c>
      <c r="F7" s="18">
        <v>0</v>
      </c>
      <c r="G7" s="18">
        <v>300</v>
      </c>
      <c r="H7" s="18">
        <v>100</v>
      </c>
      <c r="I7" s="18">
        <v>420</v>
      </c>
      <c r="J7" s="19">
        <f t="shared" si="0"/>
        <v>1120</v>
      </c>
      <c r="K7" s="19">
        <f t="shared" si="1"/>
        <v>570</v>
      </c>
      <c r="L7" s="20" t="str">
        <f t="shared" si="2"/>
        <v>✅ KEEP</v>
      </c>
      <c r="M7" s="21">
        <f t="shared" si="3"/>
        <v>1.0363636363636364</v>
      </c>
    </row>
    <row r="8" spans="1:13" x14ac:dyDescent="0.2">
      <c r="A8" s="17" t="s">
        <v>42</v>
      </c>
      <c r="B8" s="18">
        <v>250</v>
      </c>
      <c r="C8" s="18">
        <v>0</v>
      </c>
      <c r="D8" s="18">
        <v>0</v>
      </c>
      <c r="E8" s="18">
        <v>0</v>
      </c>
      <c r="F8" s="18">
        <v>200</v>
      </c>
      <c r="G8" s="18">
        <v>0</v>
      </c>
      <c r="H8" s="18">
        <v>60</v>
      </c>
      <c r="I8" s="18">
        <v>90</v>
      </c>
      <c r="J8" s="19">
        <f t="shared" si="0"/>
        <v>350</v>
      </c>
      <c r="K8" s="19">
        <f t="shared" si="1"/>
        <v>100</v>
      </c>
      <c r="L8" s="20" t="str">
        <f t="shared" si="2"/>
        <v>✅ KEEP</v>
      </c>
      <c r="M8" s="21">
        <f t="shared" si="3"/>
        <v>0.4</v>
      </c>
    </row>
    <row r="9" spans="1:13" x14ac:dyDescent="0.2">
      <c r="A9" s="17" t="s">
        <v>43</v>
      </c>
      <c r="B9" s="18">
        <v>99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25</v>
      </c>
      <c r="I9" s="18">
        <v>40</v>
      </c>
      <c r="J9" s="19">
        <f t="shared" si="0"/>
        <v>65</v>
      </c>
      <c r="K9" s="19">
        <f t="shared" si="1"/>
        <v>-34</v>
      </c>
      <c r="L9" s="20" t="str">
        <f t="shared" si="2"/>
        <v>⚠️ BORDERLINE</v>
      </c>
      <c r="M9" s="21">
        <f t="shared" si="3"/>
        <v>-0.34343434343434343</v>
      </c>
    </row>
    <row r="10" spans="1:13" x14ac:dyDescent="0.2">
      <c r="A10" s="1"/>
      <c r="B10" s="2"/>
      <c r="C10" s="2"/>
      <c r="D10" s="2"/>
      <c r="E10" s="2"/>
      <c r="F10" s="2"/>
      <c r="G10" s="2"/>
      <c r="H10" s="2"/>
      <c r="I10" s="2"/>
      <c r="J10" s="18" t="str">
        <f t="shared" si="0"/>
        <v/>
      </c>
      <c r="K10" s="18" t="str">
        <f t="shared" si="1"/>
        <v/>
      </c>
      <c r="L10" s="22" t="str">
        <f t="shared" si="2"/>
        <v/>
      </c>
      <c r="M10" s="21" t="str">
        <f t="shared" si="3"/>
        <v/>
      </c>
    </row>
    <row r="11" spans="1:13" x14ac:dyDescent="0.2">
      <c r="A11" s="1"/>
      <c r="B11" s="2"/>
      <c r="C11" s="2"/>
      <c r="D11" s="2"/>
      <c r="E11" s="2"/>
      <c r="F11" s="2"/>
      <c r="G11" s="2"/>
      <c r="H11" s="2"/>
      <c r="I11" s="2"/>
      <c r="J11" s="18" t="str">
        <f t="shared" si="0"/>
        <v/>
      </c>
      <c r="K11" s="18" t="str">
        <f t="shared" si="1"/>
        <v/>
      </c>
      <c r="L11" s="22" t="str">
        <f t="shared" si="2"/>
        <v/>
      </c>
      <c r="M11" s="21" t="str">
        <f t="shared" si="3"/>
        <v/>
      </c>
    </row>
    <row r="12" spans="1:13" x14ac:dyDescent="0.2">
      <c r="A12" s="1"/>
      <c r="B12" s="2"/>
      <c r="C12" s="2"/>
      <c r="D12" s="2"/>
      <c r="E12" s="2"/>
      <c r="F12" s="2"/>
      <c r="G12" s="2"/>
      <c r="H12" s="2"/>
      <c r="I12" s="2"/>
      <c r="J12" s="18" t="str">
        <f t="shared" si="0"/>
        <v/>
      </c>
      <c r="K12" s="18" t="str">
        <f t="shared" si="1"/>
        <v/>
      </c>
      <c r="L12" s="22" t="str">
        <f t="shared" si="2"/>
        <v/>
      </c>
      <c r="M12" s="21" t="str">
        <f t="shared" si="3"/>
        <v/>
      </c>
    </row>
    <row r="13" spans="1:13" x14ac:dyDescent="0.2">
      <c r="A13" s="1"/>
      <c r="B13" s="2"/>
      <c r="C13" s="2"/>
      <c r="D13" s="2"/>
      <c r="E13" s="2"/>
      <c r="F13" s="2"/>
      <c r="G13" s="2"/>
      <c r="H13" s="2"/>
      <c r="I13" s="2"/>
      <c r="J13" s="18" t="str">
        <f t="shared" si="0"/>
        <v/>
      </c>
      <c r="K13" s="18" t="str">
        <f t="shared" si="1"/>
        <v/>
      </c>
      <c r="L13" s="22" t="str">
        <f t="shared" si="2"/>
        <v/>
      </c>
      <c r="M13" s="21" t="str">
        <f t="shared" si="3"/>
        <v/>
      </c>
    </row>
    <row r="14" spans="1:13" x14ac:dyDescent="0.2">
      <c r="A14" s="1"/>
      <c r="B14" s="2"/>
      <c r="C14" s="2"/>
      <c r="D14" s="2"/>
      <c r="E14" s="2"/>
      <c r="F14" s="2"/>
      <c r="G14" s="2"/>
      <c r="H14" s="2"/>
      <c r="I14" s="2"/>
      <c r="J14" s="18" t="str">
        <f t="shared" si="0"/>
        <v/>
      </c>
      <c r="K14" s="18" t="str">
        <f t="shared" si="1"/>
        <v/>
      </c>
      <c r="L14" s="22" t="str">
        <f t="shared" si="2"/>
        <v/>
      </c>
      <c r="M14" s="21" t="str">
        <f t="shared" si="3"/>
        <v/>
      </c>
    </row>
    <row r="15" spans="1:13" x14ac:dyDescent="0.2">
      <c r="A15" s="1"/>
      <c r="B15" s="2"/>
      <c r="C15" s="2"/>
      <c r="D15" s="2"/>
      <c r="E15" s="2"/>
      <c r="F15" s="2"/>
      <c r="G15" s="2"/>
      <c r="H15" s="2"/>
      <c r="I15" s="2"/>
      <c r="J15" s="18" t="str">
        <f t="shared" si="0"/>
        <v/>
      </c>
      <c r="K15" s="18" t="str">
        <f t="shared" si="1"/>
        <v/>
      </c>
      <c r="L15" s="22" t="str">
        <f t="shared" si="2"/>
        <v/>
      </c>
      <c r="M15" s="21" t="str">
        <f t="shared" si="3"/>
        <v/>
      </c>
    </row>
    <row r="16" spans="1:13" x14ac:dyDescent="0.2">
      <c r="A16" s="1"/>
      <c r="B16" s="2"/>
      <c r="C16" s="2"/>
      <c r="D16" s="2"/>
      <c r="E16" s="2"/>
      <c r="F16" s="2"/>
      <c r="G16" s="2"/>
      <c r="H16" s="2"/>
      <c r="I16" s="2"/>
      <c r="J16" s="18" t="str">
        <f t="shared" si="0"/>
        <v/>
      </c>
      <c r="K16" s="18" t="str">
        <f t="shared" si="1"/>
        <v/>
      </c>
      <c r="L16" s="22" t="str">
        <f t="shared" si="2"/>
        <v/>
      </c>
      <c r="M16" s="21" t="str">
        <f t="shared" si="3"/>
        <v/>
      </c>
    </row>
    <row r="17" spans="1:13" x14ac:dyDescent="0.2">
      <c r="A17" s="1"/>
      <c r="B17" s="2"/>
      <c r="C17" s="2"/>
      <c r="D17" s="2"/>
      <c r="E17" s="2"/>
      <c r="F17" s="2"/>
      <c r="G17" s="2"/>
      <c r="H17" s="2"/>
      <c r="I17" s="2"/>
      <c r="J17" s="18" t="str">
        <f t="shared" si="0"/>
        <v/>
      </c>
      <c r="K17" s="18" t="str">
        <f t="shared" si="1"/>
        <v/>
      </c>
      <c r="L17" s="22" t="str">
        <f t="shared" si="2"/>
        <v/>
      </c>
      <c r="M17" s="21" t="str">
        <f t="shared" si="3"/>
        <v/>
      </c>
    </row>
    <row r="18" spans="1:13" x14ac:dyDescent="0.2">
      <c r="A18" s="23" t="s">
        <v>44</v>
      </c>
      <c r="B18" s="24">
        <f>SUM(B6:B17)</f>
        <v>1794</v>
      </c>
      <c r="J18" s="24">
        <f>SUM(J6:J17)</f>
        <v>3318</v>
      </c>
      <c r="K18" s="24">
        <f>SUM(K6:K17)</f>
        <v>1524</v>
      </c>
    </row>
  </sheetData>
  <mergeCells count="3">
    <mergeCell ref="A3:M3"/>
    <mergeCell ref="A2:M2"/>
    <mergeCell ref="A1:M1"/>
  </mergeCells>
  <conditionalFormatting sqref="K6:K17">
    <cfRule type="cellIs" dxfId="4" priority="4" operator="lessThan">
      <formula>0</formula>
    </cfRule>
    <cfRule type="cellIs" dxfId="3" priority="5" operator="greaterThanOrEqual">
      <formula>0</formula>
    </cfRule>
  </conditionalFormatting>
  <conditionalFormatting sqref="L6:L17">
    <cfRule type="expression" dxfId="2" priority="1" stopIfTrue="1">
      <formula>ISNUMBER(SEARCH("KEEP",L6))</formula>
    </cfRule>
    <cfRule type="expression" dxfId="1" priority="2" stopIfTrue="1">
      <formula>ISNUMBER(SEARCH("BORDERLINE",L6))</formula>
    </cfRule>
    <cfRule type="expression" dxfId="0" priority="3" stopIfTrue="1">
      <formula>ISNUMBER(SEARCH("RECONSIDER",L6))</formula>
    </cfRule>
  </conditionalFormatting>
  <dataValidations count="1">
    <dataValidation type="decimal" operator="greaterThanOrEqual" allowBlank="1" showErrorMessage="1" errorTitle="Numbers only" error="Enter a dollar amount (0 or more), no $ sign needed." sqref="B6:I17" xr:uid="{00000000-0002-0000-0200-000000000000}">
      <formula1>0</formula1>
    </dataValidation>
  </dataValidations>
  <printOptions horizontalCentered="1"/>
  <pageMargins left="0.4" right="0.4" top="0.5" bottom="0.6" header="0.5" footer="0.5"/>
  <pageSetup orientation="landscape"/>
  <headerFooter>
    <oddFooter>&amp;L&amp;"Arial"&amp;8 Travel &amp; Finance Tips  ·  travelfinancetips.com&amp;R&amp;"Arial"&amp;8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Read Me</vt:lpstr>
      <vt:lpstr>Summary</vt:lpstr>
      <vt:lpstr>Fee ROI</vt:lpstr>
      <vt:lpstr>'Fee ROI'!Print_Area</vt:lpstr>
      <vt:lpstr>'Read Me'!Print_Area</vt:lpstr>
      <vt:lpstr>Summary!Print_Area</vt:lpstr>
      <vt:lpstr>'Fee ROI'!Print_Titles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 &amp; Finance Tips</dc:creator>
  <cp:lastModifiedBy>Travel &amp; Finance Tips</cp:lastModifiedBy>
  <dcterms:created xsi:type="dcterms:W3CDTF">2026-07-21T13:54:39Z</dcterms:created>
  <dcterms:modified xsi:type="dcterms:W3CDTF">2026-09-24T18:08:38Z</dcterms:modified>
</cp:coreProperties>
</file>