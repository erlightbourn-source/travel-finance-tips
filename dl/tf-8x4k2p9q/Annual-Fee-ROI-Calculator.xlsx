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ee RO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FFFFFF"/>
      <sz val="11"/>
    </font>
    <font>
      <name val="Calibri"/>
      <b val="1"/>
      <color rgb="00C9A227"/>
      <sz val="9"/>
    </font>
    <font>
      <name val="Calibri"/>
      <b val="1"/>
      <color rgb="000B2A4A"/>
      <sz val="13"/>
    </font>
    <font>
      <name val="Calibri"/>
      <color rgb="001A1A1A"/>
      <sz val="11"/>
    </font>
    <font>
      <name val="Calibri"/>
      <b val="1"/>
      <color rgb="000E7C7B"/>
      <sz val="10"/>
    </font>
    <font>
      <name val="Calibri"/>
      <i val="1"/>
      <color rgb="006B7785"/>
      <sz val="9"/>
    </font>
    <font>
      <name val="Calibri"/>
      <b val="1"/>
      <color rgb="00FFFFFF"/>
      <sz val="10"/>
    </font>
    <font>
      <name val="Calibri"/>
      <b val="1"/>
      <color rgb="001A1A1A"/>
      <sz val="11"/>
    </font>
    <font>
      <name val="Calibri"/>
      <b val="1"/>
      <color rgb="000B2A4A"/>
      <sz val="11"/>
    </font>
  </fonts>
  <fills count="4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0E7C7B"/>
      </patternFill>
    </fill>
  </fills>
  <borders count="2">
    <border>
      <left/>
      <right/>
      <top/>
      <bottom/>
      <diagonal/>
    </border>
    <border>
      <left style="thin">
        <color rgb="00C9D2DC"/>
      </left>
      <right style="thin">
        <color rgb="00C9D2DC"/>
      </right>
      <top style="thin">
        <color rgb="00C9D2DC"/>
      </top>
      <bottom style="thin">
        <color rgb="00C9D2D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10" fillId="0" borderId="0" pivotButton="0" quotePrefix="0" xfId="0"/>
  </cellXfs>
  <cellStyles count="1">
    <cellStyle name="Normal" xfId="0" builtinId="0" hidden="0"/>
  </cellStyles>
  <dxfs count="1">
    <dxf>
      <font>
        <b val="1"/>
        <color rgb="001E8E5A"/>
      </font>
      <fill>
        <patternFill patternType="solid">
          <fgColor rgb="00D6EF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1" ht="30" customHeight="1">
      <c r="A1" s="1" t="inlineStr">
        <is>
          <t>Annual-Fee ROI Calculator</t>
        </is>
      </c>
      <c r="B1" s="2" t="n"/>
    </row>
    <row r="2" ht="18" customHeight="1">
      <c r="A2" s="3" t="inlineStr">
        <is>
          <t>How to use this template</t>
        </is>
      </c>
      <c r="B2" s="2" t="n"/>
    </row>
    <row r="3" ht="16" customHeight="1">
      <c r="A3" s="4" t="inlineStr">
        <is>
          <t>Travel &amp; Finance  ·  travelfinancetips.com</t>
        </is>
      </c>
      <c r="B3" s="2" t="n"/>
    </row>
    <row r="5" ht="20" customHeight="1">
      <c r="B5" s="5" t="inlineStr">
        <is>
          <t>What this does</t>
        </is>
      </c>
    </row>
    <row r="6" ht="30" customHeight="1">
      <c r="B6" s="6" t="inlineStr">
        <is>
          <t>Tells you—per card—whether the perks &amp; credits you ACTUALLY use outweigh the annual fee, so you keep the winners and cancel/downgrade the losers before the next fee posts.</t>
        </is>
      </c>
    </row>
    <row r="7" ht="20" customHeight="1">
      <c r="B7" s="5" t="inlineStr">
        <is>
          <t>How to use it (2 minutes per card)</t>
        </is>
      </c>
    </row>
    <row r="8" ht="30" customHeight="1">
      <c r="B8" s="6" t="inlineStr">
        <is>
          <t>1.  Go to the 'Fee ROI' tab. Replace the example rows with YOUR cards.</t>
        </is>
      </c>
    </row>
    <row r="9" ht="30" customHeight="1">
      <c r="B9" s="6" t="inlineStr">
        <is>
          <t>2.  Enter the annual fee, then the DOLLAR value of each credit/perk you truly used this year (be honest—count only what you'd have spent anyway).</t>
        </is>
      </c>
    </row>
    <row r="10" ht="30" customHeight="1">
      <c r="B10" s="6" t="inlineStr">
        <is>
          <t>3.  Add the cash value of the points/cashback you earned on the card.</t>
        </is>
      </c>
    </row>
    <row r="11" ht="30" customHeight="1">
      <c r="B11" s="6" t="inlineStr">
        <is>
          <t>4.  Read the Verdict column: ✅ KEEP, ⚠️ BORDERLINE, or ❌ RECONSIDER (downgrade or product-change).</t>
        </is>
      </c>
    </row>
    <row r="12" ht="20" customHeight="1">
      <c r="B12" s="7" t="inlineStr">
        <is>
          <t>Rule of thumb: value only the credits you'd spend regardless. A $200 'travel credit' you had to manufacture spend for is worth less than $200 to you.</t>
        </is>
      </c>
    </row>
    <row r="13" ht="20" customHeight="1">
      <c r="B13" s="5" t="inlineStr">
        <is>
          <t>Before you cancel</t>
        </is>
      </c>
    </row>
    <row r="14" ht="30" customHeight="1">
      <c r="B14" s="6" t="inlineStr">
        <is>
          <t>Call the issuer and ask for a retention offer, or product-change to a no-fee version to keep your account age &amp; credit line. Never cancel your oldest card.</t>
        </is>
      </c>
    </row>
    <row r="15" ht="20" customHeight="1">
      <c r="B15" s="8" t="inlineStr">
        <is>
          <t>Educational tool, not financial advice. Verify each card's current terms with the issuer. © Travel &amp; Finance · travelfinancetips.com</t>
        </is>
      </c>
    </row>
  </sheetData>
  <mergeCells count="3">
    <mergeCell ref="A3:B3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12" customWidth="1" min="3" max="3"/>
    <col width="12" customWidth="1" min="4" max="4"/>
    <col width="12" customWidth="1" min="5" max="5"/>
    <col width="13" customWidth="1" min="6" max="6"/>
    <col width="10" customWidth="1" min="7" max="7"/>
    <col width="10" customWidth="1" min="8" max="8"/>
    <col width="12" customWidth="1" min="9" max="9"/>
    <col width="12" customWidth="1" min="10" max="10"/>
    <col width="12" customWidth="1" min="11" max="11"/>
    <col width="15" customWidth="1" min="12" max="12"/>
    <col width="7" customWidth="1" min="13" max="13"/>
  </cols>
  <sheetData>
    <row r="1" ht="30" customHeight="1">
      <c r="A1" s="1" t="inlineStr">
        <is>
          <t>Annual-Fee ROI Calculator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18" customHeight="1">
      <c r="A2" s="3" t="inlineStr">
        <is>
          <t>Enter each card once a year — keep the winners, cut the losers.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16" customHeight="1">
      <c r="A3" s="4" t="inlineStr">
        <is>
          <t>Travel &amp; Finance  ·  travelfinancetips.com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5" ht="42" customHeight="1">
      <c r="A5" s="9" t="inlineStr">
        <is>
          <t>Card Name</t>
        </is>
      </c>
      <c r="B5" s="9" t="inlineStr">
        <is>
          <t>Annual
Fee</t>
        </is>
      </c>
      <c r="C5" s="9" t="inlineStr">
        <is>
          <t>Travel/
Airline Credit</t>
        </is>
      </c>
      <c r="D5" s="9" t="inlineStr">
        <is>
          <t>Dining/
Food Credit</t>
        </is>
      </c>
      <c r="E5" s="9" t="inlineStr">
        <is>
          <t>Statement/
Shop Credits</t>
        </is>
      </c>
      <c r="F5" s="9" t="inlineStr">
        <is>
          <t>Free Night /
Anniversary</t>
        </is>
      </c>
      <c r="G5" s="9" t="inlineStr">
        <is>
          <t>Lounge
Value</t>
        </is>
      </c>
      <c r="H5" s="9" t="inlineStr">
        <is>
          <t>Other
Perks</t>
        </is>
      </c>
      <c r="I5" s="9" t="inlineStr">
        <is>
          <t>Points/CB
Value ($/yr)</t>
        </is>
      </c>
      <c r="J5" s="9" t="inlineStr">
        <is>
          <t>Total Value
Captured</t>
        </is>
      </c>
      <c r="K5" s="9" t="inlineStr">
        <is>
          <t>Net Value
(Value − Fee)</t>
        </is>
      </c>
      <c r="L5" s="9" t="inlineStr">
        <is>
          <t>Verdict</t>
        </is>
      </c>
      <c r="M5" s="9" t="inlineStr">
        <is>
          <t>ROI
%</t>
        </is>
      </c>
    </row>
    <row r="6">
      <c r="A6" s="10" t="inlineStr">
        <is>
          <t>Premium Travel (Plat-tier)</t>
        </is>
      </c>
      <c r="B6" s="11" t="n">
        <v>695</v>
      </c>
      <c r="C6" s="11" t="n">
        <v>200</v>
      </c>
      <c r="D6" s="11" t="n">
        <v>324</v>
      </c>
      <c r="E6" s="11" t="n">
        <v>240</v>
      </c>
      <c r="F6" s="11" t="n">
        <v>0</v>
      </c>
      <c r="G6" s="11" t="n">
        <v>469</v>
      </c>
      <c r="H6" s="11" t="n">
        <v>300</v>
      </c>
      <c r="I6" s="11" t="n">
        <v>250</v>
      </c>
      <c r="J6" s="12">
        <f>SUM(C6:I6)</f>
        <v/>
      </c>
      <c r="K6" s="12">
        <f>J6-B6</f>
        <v/>
      </c>
      <c r="L6" s="13">
        <f>IF(K6&gt;=0,"✅ KEEP",IF(K6&gt;=-50,"⚠️ BORDERLINE","❌ RECONSIDER"))</f>
        <v/>
      </c>
      <c r="M6" s="14">
        <f>IF(B6=0,"—",K6/B6)</f>
        <v/>
      </c>
    </row>
    <row r="7">
      <c r="A7" s="10" t="inlineStr">
        <is>
          <t>Mid Travel (Sapphire-tier)</t>
        </is>
      </c>
      <c r="B7" s="11" t="n">
        <v>550</v>
      </c>
      <c r="C7" s="11" t="n">
        <v>300</v>
      </c>
      <c r="D7" s="11" t="n">
        <v>0</v>
      </c>
      <c r="E7" s="11" t="n">
        <v>0</v>
      </c>
      <c r="F7" s="11" t="n">
        <v>0</v>
      </c>
      <c r="G7" s="11" t="n">
        <v>300</v>
      </c>
      <c r="H7" s="11" t="n">
        <v>100</v>
      </c>
      <c r="I7" s="11" t="n">
        <v>420</v>
      </c>
      <c r="J7" s="12">
        <f>SUM(C7:I7)</f>
        <v/>
      </c>
      <c r="K7" s="12">
        <f>J7-B7</f>
        <v/>
      </c>
      <c r="L7" s="13">
        <f>IF(K7&gt;=0,"✅ KEEP",IF(K7&gt;=-50,"⚠️ BORDERLINE","❌ RECONSIDER"))</f>
        <v/>
      </c>
      <c r="M7" s="14">
        <f>IF(B7=0,"—",K7/B7)</f>
        <v/>
      </c>
    </row>
    <row r="8">
      <c r="A8" s="10" t="inlineStr">
        <is>
          <t>Hotel Card (w/ Free Night)</t>
        </is>
      </c>
      <c r="B8" s="11" t="n">
        <v>250</v>
      </c>
      <c r="C8" s="11" t="n">
        <v>0</v>
      </c>
      <c r="D8" s="11" t="n">
        <v>0</v>
      </c>
      <c r="E8" s="11" t="n">
        <v>0</v>
      </c>
      <c r="F8" s="11" t="n">
        <v>200</v>
      </c>
      <c r="G8" s="11" t="n">
        <v>0</v>
      </c>
      <c r="H8" s="11" t="n">
        <v>60</v>
      </c>
      <c r="I8" s="11" t="n">
        <v>90</v>
      </c>
      <c r="J8" s="12">
        <f>SUM(C8:I8)</f>
        <v/>
      </c>
      <c r="K8" s="12">
        <f>J8-B8</f>
        <v/>
      </c>
      <c r="L8" s="13">
        <f>IF(K8&gt;=0,"✅ KEEP",IF(K8&gt;=-50,"⚠️ BORDERLINE","❌ RECONSIDER"))</f>
        <v/>
      </c>
      <c r="M8" s="14">
        <f>IF(B8=0,"—",K8/B8)</f>
        <v/>
      </c>
    </row>
    <row r="9">
      <c r="A9" s="10" t="inlineStr">
        <is>
          <t>Airline Card (low use)</t>
        </is>
      </c>
      <c r="B9" s="11" t="n">
        <v>99</v>
      </c>
      <c r="C9" s="11" t="n">
        <v>0</v>
      </c>
      <c r="D9" s="11" t="n">
        <v>0</v>
      </c>
      <c r="E9" s="11" t="n">
        <v>0</v>
      </c>
      <c r="F9" s="11" t="n">
        <v>0</v>
      </c>
      <c r="G9" s="11" t="n">
        <v>0</v>
      </c>
      <c r="H9" s="11" t="n">
        <v>25</v>
      </c>
      <c r="I9" s="11" t="n">
        <v>40</v>
      </c>
      <c r="J9" s="12">
        <f>SUM(C9:I9)</f>
        <v/>
      </c>
      <c r="K9" s="12">
        <f>J9-B9</f>
        <v/>
      </c>
      <c r="L9" s="13">
        <f>IF(K9&gt;=0,"✅ KEEP",IF(K9&gt;=-50,"⚠️ BORDERLINE","❌ RECONSIDER"))</f>
        <v/>
      </c>
      <c r="M9" s="14">
        <f>IF(B9=0,"—",K9/B9)</f>
        <v/>
      </c>
    </row>
    <row r="10">
      <c r="A10" s="10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>
        <f>IF(A10="","",SUM(C10:I10))</f>
        <v/>
      </c>
      <c r="K10" s="11">
        <f>IF(A10="","",J10-B10)</f>
        <v/>
      </c>
      <c r="L10" s="15">
        <f>IF(A10="","",IF(K10&gt;=0,"✅ KEEP",IF(K10&gt;=-50,"⚠️ BORDERLINE","❌ RECONSIDER")))</f>
        <v/>
      </c>
      <c r="M10" s="14">
        <f>IF(A10="","",IF(B10=0,"—",K10/B10))</f>
        <v/>
      </c>
    </row>
    <row r="11">
      <c r="A11" s="10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>
        <f>IF(A11="","",SUM(C11:I11))</f>
        <v/>
      </c>
      <c r="K11" s="11">
        <f>IF(A11="","",J11-B11)</f>
        <v/>
      </c>
      <c r="L11" s="15">
        <f>IF(A11="","",IF(K11&gt;=0,"✅ KEEP",IF(K11&gt;=-50,"⚠️ BORDERLINE","❌ RECONSIDER")))</f>
        <v/>
      </c>
      <c r="M11" s="14">
        <f>IF(A11="","",IF(B11=0,"—",K11/B11))</f>
        <v/>
      </c>
    </row>
    <row r="12">
      <c r="A12" s="10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>
        <f>IF(A12="","",SUM(C12:I12))</f>
        <v/>
      </c>
      <c r="K12" s="11">
        <f>IF(A12="","",J12-B12)</f>
        <v/>
      </c>
      <c r="L12" s="15">
        <f>IF(A12="","",IF(K12&gt;=0,"✅ KEEP",IF(K12&gt;=-50,"⚠️ BORDERLINE","❌ RECONSIDER")))</f>
        <v/>
      </c>
      <c r="M12" s="14">
        <f>IF(A12="","",IF(B12=0,"—",K12/B12))</f>
        <v/>
      </c>
    </row>
    <row r="13">
      <c r="A13" s="10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>
        <f>IF(A13="","",SUM(C13:I13))</f>
        <v/>
      </c>
      <c r="K13" s="11">
        <f>IF(A13="","",J13-B13)</f>
        <v/>
      </c>
      <c r="L13" s="15">
        <f>IF(A13="","",IF(K13&gt;=0,"✅ KEEP",IF(K13&gt;=-50,"⚠️ BORDERLINE","❌ RECONSIDER")))</f>
        <v/>
      </c>
      <c r="M13" s="14">
        <f>IF(A13="","",IF(B13=0,"—",K13/B13))</f>
        <v/>
      </c>
    </row>
    <row r="14">
      <c r="A14" s="10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>
        <f>IF(A14="","",SUM(C14:I14))</f>
        <v/>
      </c>
      <c r="K14" s="11">
        <f>IF(A14="","",J14-B14)</f>
        <v/>
      </c>
      <c r="L14" s="15">
        <f>IF(A14="","",IF(K14&gt;=0,"✅ KEEP",IF(K14&gt;=-50,"⚠️ BORDERLINE","❌ RECONSIDER")))</f>
        <v/>
      </c>
      <c r="M14" s="14">
        <f>IF(A14="","",IF(B14=0,"—",K14/B14))</f>
        <v/>
      </c>
    </row>
    <row r="15">
      <c r="A15" s="10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>
        <f>IF(A15="","",SUM(C15:I15))</f>
        <v/>
      </c>
      <c r="K15" s="11">
        <f>IF(A15="","",J15-B15)</f>
        <v/>
      </c>
      <c r="L15" s="15">
        <f>IF(A15="","",IF(K15&gt;=0,"✅ KEEP",IF(K15&gt;=-50,"⚠️ BORDERLINE","❌ RECONSIDER")))</f>
        <v/>
      </c>
      <c r="M15" s="14">
        <f>IF(A15="","",IF(B15=0,"—",K15/B15))</f>
        <v/>
      </c>
    </row>
    <row r="16">
      <c r="A16" s="10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>
        <f>IF(A16="","",SUM(C16:I16))</f>
        <v/>
      </c>
      <c r="K16" s="11">
        <f>IF(A16="","",J16-B16)</f>
        <v/>
      </c>
      <c r="L16" s="15">
        <f>IF(A16="","",IF(K16&gt;=0,"✅ KEEP",IF(K16&gt;=-50,"⚠️ BORDERLINE","❌ RECONSIDER")))</f>
        <v/>
      </c>
      <c r="M16" s="14">
        <f>IF(A16="","",IF(B16=0,"—",K16/B16))</f>
        <v/>
      </c>
    </row>
    <row r="17">
      <c r="A17" s="10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>
        <f>IF(A17="","",SUM(C17:I17))</f>
        <v/>
      </c>
      <c r="K17" s="11">
        <f>IF(A17="","",J17-B17)</f>
        <v/>
      </c>
      <c r="L17" s="15">
        <f>IF(A17="","",IF(K17&gt;=0,"✅ KEEP",IF(K17&gt;=-50,"⚠️ BORDERLINE","❌ RECONSIDER")))</f>
        <v/>
      </c>
      <c r="M17" s="14">
        <f>IF(A17="","",IF(B17=0,"—",K17/B17))</f>
        <v/>
      </c>
    </row>
    <row r="18">
      <c r="A18" s="16" t="inlineStr">
        <is>
          <t>PORTFOLIO TOTAL</t>
        </is>
      </c>
      <c r="B18" s="17">
        <f>SUM(B6:B17)</f>
        <v/>
      </c>
      <c r="J18" s="17">
        <f>SUM(J6:J17)</f>
        <v/>
      </c>
      <c r="K18" s="17">
        <f>SUM(K6:K17)</f>
        <v/>
      </c>
    </row>
  </sheetData>
  <mergeCells count="3">
    <mergeCell ref="A3:M3"/>
    <mergeCell ref="A2:M2"/>
    <mergeCell ref="A1:M1"/>
  </mergeCells>
  <conditionalFormatting sqref="L6:L17">
    <cfRule type="cellIs" priority="1" operator="containsText" dxfId="0">
      <formula>"KEEP"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2026-07-21T13:54:39Z</dcterms:created>
  <dcterms:modified xmlns:dcterms="http://purl.org/dc/terms/" xmlns:xsi="http://www.w3.org/2001/XMLSchema-instance" xsi:type="dcterms:W3CDTF">2026-07-21T13:54:39Z</dcterms:modified>
</cp:coreProperties>
</file>