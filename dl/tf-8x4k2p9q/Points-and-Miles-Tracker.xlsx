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alances" sheetId="2" state="visible" r:id="rId2"/>
    <sheet xmlns:r="http://schemas.openxmlformats.org/officeDocument/2006/relationships" name="Redemp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¢&quot;"/>
    <numFmt numFmtId="165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color rgb="00FFFFFF"/>
      <sz val="10"/>
    </font>
    <font>
      <b val="1"/>
      <color rgb="00C9A227"/>
      <sz val="9"/>
    </font>
    <font>
      <b val="1"/>
      <color rgb="000B2A4A"/>
      <sz val="12"/>
    </font>
    <font>
      <color rgb="001A1A1A"/>
      <sz val="10"/>
    </font>
    <font>
      <i val="1"/>
      <color rgb="006B7A82"/>
      <sz val="10"/>
    </font>
    <font>
      <b val="1"/>
      <color rgb="00FFFFFF"/>
      <sz val="10"/>
    </font>
    <font>
      <b val="1"/>
      <color rgb="001A1A1A"/>
      <sz val="10"/>
    </font>
    <font>
      <b val="1"/>
      <color rgb="000B2A4A"/>
      <sz val="10"/>
    </font>
    <font>
      <b val="1"/>
      <color rgb="001A1A1A"/>
      <sz val="11"/>
    </font>
  </fonts>
  <fills count="5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0E7C7B"/>
      </patternFill>
    </fill>
    <fill>
      <patternFill patternType="solid">
        <fgColor rgb="00EEF2F4"/>
      </patternFill>
    </fill>
  </fills>
  <borders count="2">
    <border>
      <left/>
      <right/>
      <top/>
      <bottom/>
      <diagonal/>
    </border>
    <border>
      <left style="thin">
        <color rgb="00D0D7DC"/>
      </left>
      <right style="thin">
        <color rgb="00D0D7DC"/>
      </right>
      <top style="thin">
        <color rgb="00D0D7DC"/>
      </top>
      <bottom style="thin">
        <color rgb="00D0D7D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2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164" fontId="8" fillId="4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9E1B1B"/>
      </font>
      <fill>
        <patternFill patternType="solid">
          <fgColor rgb="00F8D2D0"/>
        </patternFill>
      </fill>
    </dxf>
    <dxf>
      <font>
        <b val="1"/>
        <color rgb="001B7A3D"/>
      </font>
      <fill>
        <patternFill patternType="solid">
          <fgColor rgb="00D6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26" customHeight="1">
      <c r="A1" s="1" t="inlineStr">
        <is>
          <t>How to use this template</t>
        </is>
      </c>
    </row>
    <row r="2" ht="16" customHeight="1">
      <c r="A2" s="2" t="inlineStr">
        <is>
          <t>Start here — 2-minute setup.</t>
        </is>
      </c>
    </row>
    <row r="3" ht="15" customHeight="1">
      <c r="A3" s="3" t="inlineStr">
        <is>
          <t>Travel &amp; Finance  ·  travelfinancetips.com   —   Educational only, not financial advice.</t>
        </is>
      </c>
    </row>
    <row r="5">
      <c r="B5" s="4" t="inlineStr">
        <is>
          <t>Points &amp; Miles Tracker</t>
        </is>
      </c>
    </row>
    <row r="6">
      <c r="B6" s="5" t="inlineStr">
        <is>
          <t>Keep every points and miles balance in one place, get flagged before anything expires, and log redemptions so you can see your best cents-per-point.</t>
        </is>
      </c>
    </row>
    <row r="7">
      <c r="B7" s="5" t="inlineStr"/>
    </row>
    <row r="8">
      <c r="B8" s="4" t="inlineStr">
        <is>
          <t>How to use it</t>
        </is>
      </c>
    </row>
    <row r="9">
      <c r="B9" s="5" t="inlineStr">
        <is>
          <t>1. 'Balances' tab: list each program (Amex MR, Chase UR, AA, Delta, Hilton, cashback, etc.), your balance, a rough value per point, and — if the program expires — the expiry date.</t>
        </is>
      </c>
    </row>
    <row r="10">
      <c r="B10" s="5" t="inlineStr">
        <is>
          <t>2. The Est. Value and an Expiry Risk flag calculate automatically. Anything expiring within 90 days shows '⏰ SOON'. Leave the Expires cell blank for points that don't expire.</t>
        </is>
      </c>
    </row>
    <row r="11">
      <c r="B11" s="5" t="inlineStr">
        <is>
          <t>3. 'Redemption Log' tab: every time you cash points in, log the points used and the cash value you got — it computes your cents-per-point so you learn your best redemptions.</t>
        </is>
      </c>
    </row>
    <row r="12">
      <c r="B12" s="5" t="inlineStr"/>
    </row>
    <row r="13">
      <c r="B13" s="6" t="inlineStr">
        <is>
          <t>Tip: transferable points (Amex MR, Chase UR) usually don't expire while your account is open — leave Expires blank. Airline/hotel points often do.</t>
        </is>
      </c>
    </row>
    <row r="14">
      <c r="B14" s="6" t="inlineStr">
        <is>
          <t>Works in Excel and Google Sheets. A Notion version is included free when it launches. Educational only, not financial advice.</t>
        </is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9" customWidth="1" min="4" max="4"/>
    <col width="11" customWidth="1" min="5" max="5"/>
    <col width="12" customWidth="1" min="6" max="6"/>
    <col width="11" customWidth="1" min="7" max="7"/>
    <col width="12" customWidth="1" min="8" max="8"/>
    <col width="26" customWidth="1" min="9" max="9"/>
  </cols>
  <sheetData>
    <row r="1" ht="26" customHeight="1">
      <c r="A1" s="1" t="inlineStr">
        <is>
          <t>Points &amp; Miles — Balances</t>
        </is>
      </c>
    </row>
    <row r="2" ht="16" customHeight="1">
      <c r="A2" s="2" t="inlineStr">
        <is>
          <t>List every balance. Leave 'Expires' blank if it doesn't expire.</t>
        </is>
      </c>
    </row>
    <row r="3" ht="15" customHeight="1">
      <c r="A3" s="3" t="inlineStr">
        <is>
          <t>Travel &amp; Finance  ·  travelfinancetips.com   —   Educational only, not financial advice.</t>
        </is>
      </c>
    </row>
    <row r="5" ht="30" customHeight="1">
      <c r="A5" s="7" t="inlineStr">
        <is>
          <t>Program</t>
        </is>
      </c>
      <c r="B5" s="7" t="inlineStr">
        <is>
          <t>Type</t>
        </is>
      </c>
      <c r="C5" s="7" t="inlineStr">
        <is>
          <t>Balance</t>
        </is>
      </c>
      <c r="D5" s="7" t="inlineStr">
        <is>
          <t>Value
per pt (¢)</t>
        </is>
      </c>
      <c r="E5" s="7" t="inlineStr">
        <is>
          <t>Est. Value
($)</t>
        </is>
      </c>
      <c r="F5" s="7" t="inlineStr">
        <is>
          <t>Expires</t>
        </is>
      </c>
      <c r="G5" s="7" t="inlineStr">
        <is>
          <t>Expiry
Risk</t>
        </is>
      </c>
      <c r="H5" s="7" t="inlineStr">
        <is>
          <t>Last
Activity</t>
        </is>
      </c>
      <c r="I5" s="7" t="inlineStr">
        <is>
          <t>Notes</t>
        </is>
      </c>
    </row>
    <row r="6">
      <c r="A6" s="8" t="inlineStr">
        <is>
          <t>Amex Membership Rewards</t>
        </is>
      </c>
      <c r="B6" s="9" t="inlineStr">
        <is>
          <t>Transferable</t>
        </is>
      </c>
      <c r="C6" s="9" t="n">
        <v>120000</v>
      </c>
      <c r="D6" s="9" t="n">
        <v>1.1</v>
      </c>
      <c r="E6" s="10">
        <f>IF(A6="","",IF(OR(C6="",D6=""),0,C6*D6/100))</f>
        <v/>
      </c>
      <c r="F6" s="14" t="n"/>
      <c r="G6" s="10">
        <f>IF(A6="","",IF(F6="","—",IF(F6&lt;=TODAY()+90,"SOON","OK")))</f>
        <v/>
      </c>
      <c r="H6" s="14" t="n">
        <v>46204</v>
      </c>
      <c r="I6" s="8" t="inlineStr">
        <is>
          <t>Transfer partner sweet spots</t>
        </is>
      </c>
    </row>
    <row r="7">
      <c r="A7" s="8" t="inlineStr">
        <is>
          <t>Chase Ultimate Rewards</t>
        </is>
      </c>
      <c r="B7" s="9" t="inlineStr">
        <is>
          <t>Transferable</t>
        </is>
      </c>
      <c r="C7" s="9" t="n">
        <v>70000</v>
      </c>
      <c r="D7" s="9" t="n">
        <v>1.05</v>
      </c>
      <c r="E7" s="10">
        <f>IF(A7="","",IF(OR(C7="",D7=""),0,C7*D7/100))</f>
        <v/>
      </c>
      <c r="F7" s="14" t="n"/>
      <c r="G7" s="10">
        <f>IF(A7="","",IF(F7="","—",IF(F7&lt;=TODAY()+90,"SOON","OK")))</f>
        <v/>
      </c>
      <c r="H7" s="14" t="n">
        <v>46213</v>
      </c>
      <c r="I7" s="8" t="inlineStr"/>
    </row>
    <row r="8">
      <c r="A8" s="8" t="inlineStr">
        <is>
          <t>American AAdvantage</t>
        </is>
      </c>
      <c r="B8" s="9" t="inlineStr">
        <is>
          <t>Airline</t>
        </is>
      </c>
      <c r="C8" s="9" t="n">
        <v>56096</v>
      </c>
      <c r="D8" s="9" t="n">
        <v>1.4</v>
      </c>
      <c r="E8" s="10">
        <f>IF(A8="","",IF(OR(C8="",D8=""),0,C8*D8/100))</f>
        <v/>
      </c>
      <c r="F8" s="14" t="n">
        <v>46327</v>
      </c>
      <c r="G8" s="10">
        <f>IF(A8="","",IF(F8="","—",IF(F8&lt;=TODAY()+90,"SOON","OK")))</f>
        <v/>
      </c>
      <c r="H8" s="14" t="n">
        <v>46068</v>
      </c>
      <c r="I8" s="8" t="inlineStr">
        <is>
          <t>Keep active to avoid expiry</t>
        </is>
      </c>
    </row>
    <row r="9">
      <c r="A9" s="8" t="inlineStr">
        <is>
          <t>Hilton Honors</t>
        </is>
      </c>
      <c r="B9" s="9" t="inlineStr">
        <is>
          <t>Hotel</t>
        </is>
      </c>
      <c r="C9" s="9" t="n">
        <v>70000</v>
      </c>
      <c r="D9" s="9" t="n">
        <v>0.5</v>
      </c>
      <c r="E9" s="10">
        <f>IF(A9="","",IF(OR(C9="",D9=""),0,C9*D9/100))</f>
        <v/>
      </c>
      <c r="F9" s="14" t="n"/>
      <c r="G9" s="10">
        <f>IF(A9="","",IF(F9="","—",IF(F9&lt;=TODAY()+90,"SOON","OK")))</f>
        <v/>
      </c>
      <c r="H9" s="14" t="n">
        <v>46193</v>
      </c>
      <c r="I9" s="8" t="inlineStr"/>
    </row>
    <row r="10">
      <c r="A10" s="8" t="n"/>
      <c r="B10" s="9" t="n"/>
      <c r="C10" s="9" t="n"/>
      <c r="D10" s="9" t="n"/>
      <c r="E10" s="10">
        <f>IF(A10="","",IF(OR(C10="",D10=""),0,C10*D10/100))</f>
        <v/>
      </c>
      <c r="F10" s="14" t="n"/>
      <c r="G10" s="10">
        <f>IF(A10="","",IF(F10="","—",IF(F10&lt;=TODAY()+90,"SOON","OK")))</f>
        <v/>
      </c>
      <c r="H10" s="14" t="n"/>
      <c r="I10" s="8" t="n"/>
    </row>
    <row r="11">
      <c r="A11" s="8" t="n"/>
      <c r="B11" s="9" t="n"/>
      <c r="C11" s="9" t="n"/>
      <c r="D11" s="9" t="n"/>
      <c r="E11" s="10">
        <f>IF(A11="","",IF(OR(C11="",D11=""),0,C11*D11/100))</f>
        <v/>
      </c>
      <c r="F11" s="14" t="n"/>
      <c r="G11" s="10">
        <f>IF(A11="","",IF(F11="","—",IF(F11&lt;=TODAY()+90,"SOON","OK")))</f>
        <v/>
      </c>
      <c r="H11" s="14" t="n"/>
      <c r="I11" s="8" t="n"/>
    </row>
    <row r="12">
      <c r="A12" s="8" t="n"/>
      <c r="B12" s="9" t="n"/>
      <c r="C12" s="9" t="n"/>
      <c r="D12" s="9" t="n"/>
      <c r="E12" s="10">
        <f>IF(A12="","",IF(OR(C12="",D12=""),0,C12*D12/100))</f>
        <v/>
      </c>
      <c r="F12" s="14" t="n"/>
      <c r="G12" s="10">
        <f>IF(A12="","",IF(F12="","—",IF(F12&lt;=TODAY()+90,"SOON","OK")))</f>
        <v/>
      </c>
      <c r="H12" s="14" t="n"/>
      <c r="I12" s="8" t="n"/>
    </row>
    <row r="13">
      <c r="A13" s="8" t="n"/>
      <c r="B13" s="9" t="n"/>
      <c r="C13" s="9" t="n"/>
      <c r="D13" s="9" t="n"/>
      <c r="E13" s="10">
        <f>IF(A13="","",IF(OR(C13="",D13=""),0,C13*D13/100))</f>
        <v/>
      </c>
      <c r="F13" s="14" t="n"/>
      <c r="G13" s="10">
        <f>IF(A13="","",IF(F13="","—",IF(F13&lt;=TODAY()+90,"SOON","OK")))</f>
        <v/>
      </c>
      <c r="H13" s="14" t="n"/>
      <c r="I13" s="8" t="n"/>
    </row>
    <row r="14">
      <c r="A14" s="8" t="n"/>
      <c r="B14" s="9" t="n"/>
      <c r="C14" s="9" t="n"/>
      <c r="D14" s="9" t="n"/>
      <c r="E14" s="10">
        <f>IF(A14="","",IF(OR(C14="",D14=""),0,C14*D14/100))</f>
        <v/>
      </c>
      <c r="F14" s="14" t="n"/>
      <c r="G14" s="10">
        <f>IF(A14="","",IF(F14="","—",IF(F14&lt;=TODAY()+90,"SOON","OK")))</f>
        <v/>
      </c>
      <c r="H14" s="14" t="n"/>
      <c r="I14" s="8" t="n"/>
    </row>
    <row r="15">
      <c r="A15" s="8" t="n"/>
      <c r="B15" s="9" t="n"/>
      <c r="C15" s="9" t="n"/>
      <c r="D15" s="9" t="n"/>
      <c r="E15" s="10">
        <f>IF(A15="","",IF(OR(C15="",D15=""),0,C15*D15/100))</f>
        <v/>
      </c>
      <c r="F15" s="14" t="n"/>
      <c r="G15" s="10">
        <f>IF(A15="","",IF(F15="","—",IF(F15&lt;=TODAY()+90,"SOON","OK")))</f>
        <v/>
      </c>
      <c r="H15" s="14" t="n"/>
      <c r="I15" s="8" t="n"/>
    </row>
    <row r="16">
      <c r="A16" s="8" t="n"/>
      <c r="B16" s="9" t="n"/>
      <c r="C16" s="9" t="n"/>
      <c r="D16" s="9" t="n"/>
      <c r="E16" s="10">
        <f>IF(A16="","",IF(OR(C16="",D16=""),0,C16*D16/100))</f>
        <v/>
      </c>
      <c r="F16" s="14" t="n"/>
      <c r="G16" s="10">
        <f>IF(A16="","",IF(F16="","—",IF(F16&lt;=TODAY()+90,"SOON","OK")))</f>
        <v/>
      </c>
      <c r="H16" s="14" t="n"/>
      <c r="I16" s="8" t="n"/>
    </row>
    <row r="17">
      <c r="A17" s="8" t="n"/>
      <c r="B17" s="9" t="n"/>
      <c r="C17" s="9" t="n"/>
      <c r="D17" s="9" t="n"/>
      <c r="E17" s="10">
        <f>IF(A17="","",IF(OR(C17="",D17=""),0,C17*D17/100))</f>
        <v/>
      </c>
      <c r="F17" s="14" t="n"/>
      <c r="G17" s="10">
        <f>IF(A17="","",IF(F17="","—",IF(F17&lt;=TODAY()+90,"SOON","OK")))</f>
        <v/>
      </c>
      <c r="H17" s="14" t="n"/>
      <c r="I17" s="8" t="n"/>
    </row>
    <row r="18">
      <c r="A18" s="8" t="n"/>
      <c r="B18" s="9" t="n"/>
      <c r="C18" s="9" t="n"/>
      <c r="D18" s="9" t="n"/>
      <c r="E18" s="10">
        <f>IF(A18="","",IF(OR(C18="",D18=""),0,C18*D18/100))</f>
        <v/>
      </c>
      <c r="F18" s="14" t="n"/>
      <c r="G18" s="10">
        <f>IF(A18="","",IF(F18="","—",IF(F18&lt;=TODAY()+90,"SOON","OK")))</f>
        <v/>
      </c>
      <c r="H18" s="14" t="n"/>
      <c r="I18" s="8" t="n"/>
    </row>
    <row r="19">
      <c r="A19" s="8" t="n"/>
      <c r="B19" s="9" t="n"/>
      <c r="C19" s="9" t="n"/>
      <c r="D19" s="9" t="n"/>
      <c r="E19" s="10">
        <f>IF(A19="","",IF(OR(C19="",D19=""),0,C19*D19/100))</f>
        <v/>
      </c>
      <c r="F19" s="14" t="n"/>
      <c r="G19" s="10">
        <f>IF(A19="","",IF(F19="","—",IF(F19&lt;=TODAY()+90,"SOON","OK")))</f>
        <v/>
      </c>
      <c r="H19" s="14" t="n"/>
      <c r="I19" s="8" t="n"/>
    </row>
    <row r="20">
      <c r="A20" s="8" t="n"/>
      <c r="B20" s="9" t="n"/>
      <c r="C20" s="9" t="n"/>
      <c r="D20" s="9" t="n"/>
      <c r="E20" s="10">
        <f>IF(A20="","",IF(OR(C20="",D20=""),0,C20*D20/100))</f>
        <v/>
      </c>
      <c r="F20" s="14" t="n"/>
      <c r="G20" s="10">
        <f>IF(A20="","",IF(F20="","—",IF(F20&lt;=TODAY()+90,"SOON","OK")))</f>
        <v/>
      </c>
      <c r="H20" s="14" t="n"/>
      <c r="I20" s="8" t="n"/>
    </row>
    <row r="21">
      <c r="A21" s="8" t="n"/>
      <c r="B21" s="9" t="n"/>
      <c r="C21" s="9" t="n"/>
      <c r="D21" s="9" t="n"/>
      <c r="E21" s="10">
        <f>IF(A21="","",IF(OR(C21="",D21=""),0,C21*D21/100))</f>
        <v/>
      </c>
      <c r="F21" s="14" t="n"/>
      <c r="G21" s="10">
        <f>IF(A21="","",IF(F21="","—",IF(F21&lt;=TODAY()+90,"SOON","OK")))</f>
        <v/>
      </c>
      <c r="H21" s="14" t="n"/>
      <c r="I21" s="8" t="n"/>
    </row>
    <row r="22">
      <c r="A22" s="8" t="n"/>
      <c r="B22" s="9" t="n"/>
      <c r="C22" s="9" t="n"/>
      <c r="D22" s="9" t="n"/>
      <c r="E22" s="10">
        <f>IF(A22="","",IF(OR(C22="",D22=""),0,C22*D22/100))</f>
        <v/>
      </c>
      <c r="F22" s="14" t="n"/>
      <c r="G22" s="10">
        <f>IF(A22="","",IF(F22="","—",IF(F22&lt;=TODAY()+90,"SOON","OK")))</f>
        <v/>
      </c>
      <c r="H22" s="14" t="n"/>
      <c r="I22" s="8" t="n"/>
    </row>
    <row r="23">
      <c r="A23" s="8" t="n"/>
      <c r="B23" s="9" t="n"/>
      <c r="C23" s="9" t="n"/>
      <c r="D23" s="9" t="n"/>
      <c r="E23" s="10">
        <f>IF(A23="","",IF(OR(C23="",D23=""),0,C23*D23/100))</f>
        <v/>
      </c>
      <c r="F23" s="14" t="n"/>
      <c r="G23" s="10">
        <f>IF(A23="","",IF(F23="","—",IF(F23&lt;=TODAY()+90,"SOON","OK")))</f>
        <v/>
      </c>
      <c r="H23" s="14" t="n"/>
      <c r="I23" s="8" t="n"/>
    </row>
    <row r="24">
      <c r="A24" s="8" t="n"/>
      <c r="B24" s="9" t="n"/>
      <c r="C24" s="9" t="n"/>
      <c r="D24" s="9" t="n"/>
      <c r="E24" s="10">
        <f>IF(A24="","",IF(OR(C24="",D24=""),0,C24*D24/100))</f>
        <v/>
      </c>
      <c r="F24" s="14" t="n"/>
      <c r="G24" s="10">
        <f>IF(A24="","",IF(F24="","—",IF(F24&lt;=TODAY()+90,"SOON","OK")))</f>
        <v/>
      </c>
      <c r="H24" s="14" t="n"/>
      <c r="I24" s="8" t="n"/>
    </row>
    <row r="25">
      <c r="A25" s="8" t="n"/>
      <c r="B25" s="9" t="n"/>
      <c r="C25" s="9" t="n"/>
      <c r="D25" s="9" t="n"/>
      <c r="E25" s="10">
        <f>IF(A25="","",IF(OR(C25="",D25=""),0,C25*D25/100))</f>
        <v/>
      </c>
      <c r="F25" s="14" t="n"/>
      <c r="G25" s="10">
        <f>IF(A25="","",IF(F25="","—",IF(F25&lt;=TODAY()+90,"SOON","OK")))</f>
        <v/>
      </c>
      <c r="H25" s="14" t="n"/>
      <c r="I25" s="8" t="n"/>
    </row>
    <row r="26">
      <c r="A26" s="8" t="n"/>
      <c r="B26" s="9" t="n"/>
      <c r="C26" s="9" t="n"/>
      <c r="D26" s="9" t="n"/>
      <c r="E26" s="10">
        <f>IF(A26="","",IF(OR(C26="",D26=""),0,C26*D26/100))</f>
        <v/>
      </c>
      <c r="F26" s="14" t="n"/>
      <c r="G26" s="10">
        <f>IF(A26="","",IF(F26="","—",IF(F26&lt;=TODAY()+90,"SOON","OK")))</f>
        <v/>
      </c>
      <c r="H26" s="14" t="n"/>
      <c r="I26" s="8" t="n"/>
    </row>
    <row r="27">
      <c r="A27" s="8" t="n"/>
      <c r="B27" s="9" t="n"/>
      <c r="C27" s="9" t="n"/>
      <c r="D27" s="9" t="n"/>
      <c r="E27" s="10">
        <f>IF(A27="","",IF(OR(C27="",D27=""),0,C27*D27/100))</f>
        <v/>
      </c>
      <c r="F27" s="14" t="n"/>
      <c r="G27" s="10">
        <f>IF(A27="","",IF(F27="","—",IF(F27&lt;=TODAY()+90,"SOON","OK")))</f>
        <v/>
      </c>
      <c r="H27" s="14" t="n"/>
      <c r="I27" s="8" t="n"/>
    </row>
    <row r="28">
      <c r="A28" s="8" t="n"/>
      <c r="B28" s="9" t="n"/>
      <c r="C28" s="9" t="n"/>
      <c r="D28" s="9" t="n"/>
      <c r="E28" s="10">
        <f>IF(A28="","",IF(OR(C28="",D28=""),0,C28*D28/100))</f>
        <v/>
      </c>
      <c r="F28" s="14" t="n"/>
      <c r="G28" s="10">
        <f>IF(A28="","",IF(F28="","—",IF(F28&lt;=TODAY()+90,"SOON","OK")))</f>
        <v/>
      </c>
      <c r="H28" s="14" t="n"/>
      <c r="I28" s="8" t="n"/>
    </row>
    <row r="29">
      <c r="A29" s="8" t="n"/>
      <c r="B29" s="9" t="n"/>
      <c r="C29" s="9" t="n"/>
      <c r="D29" s="9" t="n"/>
      <c r="E29" s="10">
        <f>IF(A29="","",IF(OR(C29="",D29=""),0,C29*D29/100))</f>
        <v/>
      </c>
      <c r="F29" s="14" t="n"/>
      <c r="G29" s="10">
        <f>IF(A29="","",IF(F29="","—",IF(F29&lt;=TODAY()+90,"SOON","OK")))</f>
        <v/>
      </c>
      <c r="H29" s="14" t="n"/>
      <c r="I29" s="8" t="n"/>
    </row>
    <row r="30">
      <c r="A30" s="8" t="n"/>
      <c r="B30" s="9" t="n"/>
      <c r="C30" s="9" t="n"/>
      <c r="D30" s="9" t="n"/>
      <c r="E30" s="10">
        <f>IF(A30="","",IF(OR(C30="",D30=""),0,C30*D30/100))</f>
        <v/>
      </c>
      <c r="F30" s="14" t="n"/>
      <c r="G30" s="10">
        <f>IF(A30="","",IF(F30="","—",IF(F30&lt;=TODAY()+90,"SOON","OK")))</f>
        <v/>
      </c>
      <c r="H30" s="14" t="n"/>
      <c r="I30" s="8" t="n"/>
    </row>
    <row r="31">
      <c r="A31" s="8" t="n"/>
      <c r="B31" s="9" t="n"/>
      <c r="C31" s="9" t="n"/>
      <c r="D31" s="9" t="n"/>
      <c r="E31" s="10">
        <f>IF(A31="","",IF(OR(C31="",D31=""),0,C31*D31/100))</f>
        <v/>
      </c>
      <c r="F31" s="14" t="n"/>
      <c r="G31" s="10">
        <f>IF(A31="","",IF(F31="","—",IF(F31&lt;=TODAY()+90,"SOON","OK")))</f>
        <v/>
      </c>
      <c r="H31" s="14" t="n"/>
      <c r="I31" s="8" t="n"/>
    </row>
    <row r="32">
      <c r="A32" s="8" t="n"/>
      <c r="B32" s="9" t="n"/>
      <c r="C32" s="9" t="n"/>
      <c r="D32" s="9" t="n"/>
      <c r="E32" s="10">
        <f>IF(A32="","",IF(OR(C32="",D32=""),0,C32*D32/100))</f>
        <v/>
      </c>
      <c r="F32" s="14" t="n"/>
      <c r="G32" s="10">
        <f>IF(A32="","",IF(F32="","—",IF(F32&lt;=TODAY()+90,"SOON","OK")))</f>
        <v/>
      </c>
      <c r="H32" s="14" t="n"/>
      <c r="I32" s="8" t="n"/>
    </row>
    <row r="33">
      <c r="A33" s="8" t="n"/>
      <c r="B33" s="9" t="n"/>
      <c r="C33" s="9" t="n"/>
      <c r="D33" s="9" t="n"/>
      <c r="E33" s="10">
        <f>IF(A33="","",IF(OR(C33="",D33=""),0,C33*D33/100))</f>
        <v/>
      </c>
      <c r="F33" s="14" t="n"/>
      <c r="G33" s="10">
        <f>IF(A33="","",IF(F33="","—",IF(F33&lt;=TODAY()+90,"SOON","OK")))</f>
        <v/>
      </c>
      <c r="H33" s="14" t="n"/>
      <c r="I33" s="8" t="n"/>
    </row>
    <row r="34">
      <c r="A34" s="8" t="n"/>
      <c r="B34" s="9" t="n"/>
      <c r="C34" s="9" t="n"/>
      <c r="D34" s="9" t="n"/>
      <c r="E34" s="10">
        <f>IF(A34="","",IF(OR(C34="",D34=""),0,C34*D34/100))</f>
        <v/>
      </c>
      <c r="F34" s="14" t="n"/>
      <c r="G34" s="10">
        <f>IF(A34="","",IF(F34="","—",IF(F34&lt;=TODAY()+90,"SOON","OK")))</f>
        <v/>
      </c>
      <c r="H34" s="14" t="n"/>
      <c r="I34" s="8" t="n"/>
    </row>
    <row r="35">
      <c r="A35" s="8" t="n"/>
      <c r="B35" s="9" t="n"/>
      <c r="C35" s="9" t="n"/>
      <c r="D35" s="9" t="n"/>
      <c r="E35" s="10">
        <f>IF(A35="","",IF(OR(C35="",D35=""),0,C35*D35/100))</f>
        <v/>
      </c>
      <c r="F35" s="14" t="n"/>
      <c r="G35" s="10">
        <f>IF(A35="","",IF(F35="","—",IF(F35&lt;=TODAY()+90,"SOON","OK")))</f>
        <v/>
      </c>
      <c r="H35" s="14" t="n"/>
      <c r="I35" s="8" t="n"/>
    </row>
    <row r="37">
      <c r="A37" s="11" t="inlineStr">
        <is>
          <t>Total portfolio value:</t>
        </is>
      </c>
      <c r="D37" s="12">
        <f>SUM(E6:E35)</f>
        <v/>
      </c>
    </row>
    <row r="38">
      <c r="A38" s="11" t="inlineStr">
        <is>
          <t>Balances expiring within 90 days:</t>
        </is>
      </c>
      <c r="D38" s="12">
        <f>COUNTIF(G6:G35,"SOON")</f>
        <v/>
      </c>
    </row>
  </sheetData>
  <mergeCells count="5">
    <mergeCell ref="A2:I2"/>
    <mergeCell ref="A37:C37"/>
    <mergeCell ref="A1:I1"/>
    <mergeCell ref="A3:I3"/>
    <mergeCell ref="A38:C38"/>
  </mergeCells>
  <conditionalFormatting sqref="G6:G35">
    <cfRule type="cellIs" priority="1" operator="equal" dxfId="0">
      <formula>"SOON"</formula>
    </cfRule>
    <cfRule type="cellIs" priority="2" operator="equal" dxfId="1">
      <formula>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3" customWidth="1" min="4" max="4"/>
    <col width="10" customWidth="1" min="5" max="5"/>
    <col width="34" customWidth="1" min="6" max="6"/>
  </cols>
  <sheetData>
    <row r="1" ht="26" customHeight="1">
      <c r="A1" s="1" t="inlineStr">
        <is>
          <t>Redemption Log</t>
        </is>
      </c>
    </row>
    <row r="2" ht="16" customHeight="1">
      <c r="A2" s="2" t="inlineStr">
        <is>
          <t>Log every redemption — cents-per-point calculates so you learn your best value.</t>
        </is>
      </c>
    </row>
    <row r="3" ht="15" customHeight="1">
      <c r="A3" s="3" t="inlineStr">
        <is>
          <t>Travel &amp; Finance  ·  travelfinancetips.com   —   Educational only, not financial advice.</t>
        </is>
      </c>
    </row>
    <row r="5" ht="30" customHeight="1">
      <c r="A5" s="7" t="inlineStr">
        <is>
          <t>Date</t>
        </is>
      </c>
      <c r="B5" s="7" t="inlineStr">
        <is>
          <t>Program</t>
        </is>
      </c>
      <c r="C5" s="7" t="inlineStr">
        <is>
          <t>Points
Used</t>
        </is>
      </c>
      <c r="D5" s="7" t="inlineStr">
        <is>
          <t>Cash Value
Received ($)</t>
        </is>
      </c>
      <c r="E5" s="7" t="inlineStr">
        <is>
          <t>Cents
per pt</t>
        </is>
      </c>
      <c r="F5" s="7" t="inlineStr">
        <is>
          <t>What it was for</t>
        </is>
      </c>
    </row>
    <row r="6">
      <c r="A6" s="14" t="n">
        <v>46083</v>
      </c>
      <c r="B6" s="9" t="inlineStr">
        <is>
          <t>Amex Membership Rewards</t>
        </is>
      </c>
      <c r="C6" s="9" t="n">
        <v>90000</v>
      </c>
      <c r="D6" s="9" t="n">
        <v>1780</v>
      </c>
      <c r="E6" s="13">
        <f>IF(OR(B6="",C6="",D6=""),"",D6/C6*100)</f>
        <v/>
      </c>
      <c r="F6" s="8" t="inlineStr">
        <is>
          <t>2 biz-class seats to Europe</t>
        </is>
      </c>
    </row>
    <row r="7">
      <c r="A7" s="14" t="n">
        <v>46160</v>
      </c>
      <c r="B7" s="9" t="inlineStr">
        <is>
          <t>Chase Ultimate Rewards</t>
        </is>
      </c>
      <c r="C7" s="9" t="n">
        <v>25000</v>
      </c>
      <c r="D7" s="9" t="n">
        <v>375</v>
      </c>
      <c r="E7" s="13">
        <f>IF(OR(B7="",C7="",D7=""),"",D7/C7*100)</f>
        <v/>
      </c>
      <c r="F7" s="8" t="inlineStr">
        <is>
          <t>Hyatt 2 nights</t>
        </is>
      </c>
    </row>
    <row r="8">
      <c r="A8" s="14" t="n"/>
      <c r="B8" s="9" t="n"/>
      <c r="C8" s="9" t="n"/>
      <c r="D8" s="9" t="n"/>
      <c r="E8" s="13">
        <f>IF(OR(B8="",C8="",D8=""),"",D8/C8*100)</f>
        <v/>
      </c>
      <c r="F8" s="8" t="n"/>
    </row>
    <row r="9">
      <c r="A9" s="14" t="n"/>
      <c r="B9" s="9" t="n"/>
      <c r="C9" s="9" t="n"/>
      <c r="D9" s="9" t="n"/>
      <c r="E9" s="13">
        <f>IF(OR(B9="",C9="",D9=""),"",D9/C9*100)</f>
        <v/>
      </c>
      <c r="F9" s="8" t="n"/>
    </row>
    <row r="10">
      <c r="A10" s="14" t="n"/>
      <c r="B10" s="9" t="n"/>
      <c r="C10" s="9" t="n"/>
      <c r="D10" s="9" t="n"/>
      <c r="E10" s="13">
        <f>IF(OR(B10="",C10="",D10=""),"",D10/C10*100)</f>
        <v/>
      </c>
      <c r="F10" s="8" t="n"/>
    </row>
    <row r="11">
      <c r="A11" s="14" t="n"/>
      <c r="B11" s="9" t="n"/>
      <c r="C11" s="9" t="n"/>
      <c r="D11" s="9" t="n"/>
      <c r="E11" s="13">
        <f>IF(OR(B11="",C11="",D11=""),"",D11/C11*100)</f>
        <v/>
      </c>
      <c r="F11" s="8" t="n"/>
    </row>
    <row r="12">
      <c r="A12" s="14" t="n"/>
      <c r="B12" s="9" t="n"/>
      <c r="C12" s="9" t="n"/>
      <c r="D12" s="9" t="n"/>
      <c r="E12" s="13">
        <f>IF(OR(B12="",C12="",D12=""),"",D12/C12*100)</f>
        <v/>
      </c>
      <c r="F12" s="8" t="n"/>
    </row>
    <row r="13">
      <c r="A13" s="14" t="n"/>
      <c r="B13" s="9" t="n"/>
      <c r="C13" s="9" t="n"/>
      <c r="D13" s="9" t="n"/>
      <c r="E13" s="13">
        <f>IF(OR(B13="",C13="",D13=""),"",D13/C13*100)</f>
        <v/>
      </c>
      <c r="F13" s="8" t="n"/>
    </row>
    <row r="14">
      <c r="A14" s="14" t="n"/>
      <c r="B14" s="9" t="n"/>
      <c r="C14" s="9" t="n"/>
      <c r="D14" s="9" t="n"/>
      <c r="E14" s="13">
        <f>IF(OR(B14="",C14="",D14=""),"",D14/C14*100)</f>
        <v/>
      </c>
      <c r="F14" s="8" t="n"/>
    </row>
    <row r="15">
      <c r="A15" s="14" t="n"/>
      <c r="B15" s="9" t="n"/>
      <c r="C15" s="9" t="n"/>
      <c r="D15" s="9" t="n"/>
      <c r="E15" s="13">
        <f>IF(OR(B15="",C15="",D15=""),"",D15/C15*100)</f>
        <v/>
      </c>
      <c r="F15" s="8" t="n"/>
    </row>
    <row r="16">
      <c r="A16" s="14" t="n"/>
      <c r="B16" s="9" t="n"/>
      <c r="C16" s="9" t="n"/>
      <c r="D16" s="9" t="n"/>
      <c r="E16" s="13">
        <f>IF(OR(B16="",C16="",D16=""),"",D16/C16*100)</f>
        <v/>
      </c>
      <c r="F16" s="8" t="n"/>
    </row>
    <row r="17">
      <c r="A17" s="14" t="n"/>
      <c r="B17" s="9" t="n"/>
      <c r="C17" s="9" t="n"/>
      <c r="D17" s="9" t="n"/>
      <c r="E17" s="13">
        <f>IF(OR(B17="",C17="",D17=""),"",D17/C17*100)</f>
        <v/>
      </c>
      <c r="F17" s="8" t="n"/>
    </row>
    <row r="18">
      <c r="A18" s="14" t="n"/>
      <c r="B18" s="9" t="n"/>
      <c r="C18" s="9" t="n"/>
      <c r="D18" s="9" t="n"/>
      <c r="E18" s="13">
        <f>IF(OR(B18="",C18="",D18=""),"",D18/C18*100)</f>
        <v/>
      </c>
      <c r="F18" s="8" t="n"/>
    </row>
    <row r="19">
      <c r="A19" s="14" t="n"/>
      <c r="B19" s="9" t="n"/>
      <c r="C19" s="9" t="n"/>
      <c r="D19" s="9" t="n"/>
      <c r="E19" s="13">
        <f>IF(OR(B19="",C19="",D19=""),"",D19/C19*100)</f>
        <v/>
      </c>
      <c r="F19" s="8" t="n"/>
    </row>
    <row r="20">
      <c r="A20" s="14" t="n"/>
      <c r="B20" s="9" t="n"/>
      <c r="C20" s="9" t="n"/>
      <c r="D20" s="9" t="n"/>
      <c r="E20" s="13">
        <f>IF(OR(B20="",C20="",D20=""),"",D20/C20*100)</f>
        <v/>
      </c>
      <c r="F20" s="8" t="n"/>
    </row>
    <row r="21">
      <c r="A21" s="14" t="n"/>
      <c r="B21" s="9" t="n"/>
      <c r="C21" s="9" t="n"/>
      <c r="D21" s="9" t="n"/>
      <c r="E21" s="13">
        <f>IF(OR(B21="",C21="",D21=""),"",D21/C21*100)</f>
        <v/>
      </c>
      <c r="F21" s="8" t="n"/>
    </row>
    <row r="22">
      <c r="A22" s="14" t="n"/>
      <c r="B22" s="9" t="n"/>
      <c r="C22" s="9" t="n"/>
      <c r="D22" s="9" t="n"/>
      <c r="E22" s="13">
        <f>IF(OR(B22="",C22="",D22=""),"",D22/C22*100)</f>
        <v/>
      </c>
      <c r="F22" s="8" t="n"/>
    </row>
    <row r="23">
      <c r="A23" s="14" t="n"/>
      <c r="B23" s="9" t="n"/>
      <c r="C23" s="9" t="n"/>
      <c r="D23" s="9" t="n"/>
      <c r="E23" s="13">
        <f>IF(OR(B23="",C23="",D23=""),"",D23/C23*100)</f>
        <v/>
      </c>
      <c r="F23" s="8" t="n"/>
    </row>
    <row r="24">
      <c r="A24" s="14" t="n"/>
      <c r="B24" s="9" t="n"/>
      <c r="C24" s="9" t="n"/>
      <c r="D24" s="9" t="n"/>
      <c r="E24" s="13">
        <f>IF(OR(B24="",C24="",D24=""),"",D24/C24*100)</f>
        <v/>
      </c>
      <c r="F24" s="8" t="n"/>
    </row>
    <row r="25">
      <c r="A25" s="14" t="n"/>
      <c r="B25" s="9" t="n"/>
      <c r="C25" s="9" t="n"/>
      <c r="D25" s="9" t="n"/>
      <c r="E25" s="13">
        <f>IF(OR(B25="",C25="",D25=""),"",D25/C25*100)</f>
        <v/>
      </c>
      <c r="F25" s="8" t="n"/>
    </row>
    <row r="26">
      <c r="A26" s="14" t="n"/>
      <c r="B26" s="9" t="n"/>
      <c r="C26" s="9" t="n"/>
      <c r="D26" s="9" t="n"/>
      <c r="E26" s="13">
        <f>IF(OR(B26="",C26="",D26=""),"",D26/C26*100)</f>
        <v/>
      </c>
      <c r="F26" s="8" t="n"/>
    </row>
    <row r="27">
      <c r="A27" s="14" t="n"/>
      <c r="B27" s="9" t="n"/>
      <c r="C27" s="9" t="n"/>
      <c r="D27" s="9" t="n"/>
      <c r="E27" s="13">
        <f>IF(OR(B27="",C27="",D27=""),"",D27/C27*100)</f>
        <v/>
      </c>
      <c r="F27" s="8" t="n"/>
    </row>
    <row r="28">
      <c r="A28" s="14" t="n"/>
      <c r="B28" s="9" t="n"/>
      <c r="C28" s="9" t="n"/>
      <c r="D28" s="9" t="n"/>
      <c r="E28" s="13">
        <f>IF(OR(B28="",C28="",D28=""),"",D28/C28*100)</f>
        <v/>
      </c>
      <c r="F28" s="8" t="n"/>
    </row>
    <row r="29">
      <c r="A29" s="14" t="n"/>
      <c r="B29" s="9" t="n"/>
      <c r="C29" s="9" t="n"/>
      <c r="D29" s="9" t="n"/>
      <c r="E29" s="13">
        <f>IF(OR(B29="",C29="",D29=""),"",D29/C29*100)</f>
        <v/>
      </c>
      <c r="F29" s="8" t="n"/>
    </row>
    <row r="30">
      <c r="A30" s="14" t="n"/>
      <c r="B30" s="9" t="n"/>
      <c r="C30" s="9" t="n"/>
      <c r="D30" s="9" t="n"/>
      <c r="E30" s="13">
        <f>IF(OR(B30="",C30="",D30=""),"",D30/C30*100)</f>
        <v/>
      </c>
      <c r="F30" s="8" t="n"/>
    </row>
    <row r="31">
      <c r="A31" s="14" t="n"/>
      <c r="B31" s="9" t="n"/>
      <c r="C31" s="9" t="n"/>
      <c r="D31" s="9" t="n"/>
      <c r="E31" s="13">
        <f>IF(OR(B31="",C31="",D31=""),"",D31/C31*100)</f>
        <v/>
      </c>
      <c r="F31" s="8" t="n"/>
    </row>
    <row r="32">
      <c r="A32" s="14" t="n"/>
      <c r="B32" s="9" t="n"/>
      <c r="C32" s="9" t="n"/>
      <c r="D32" s="9" t="n"/>
      <c r="E32" s="13">
        <f>IF(OR(B32="",C32="",D32=""),"",D32/C32*100)</f>
        <v/>
      </c>
      <c r="F32" s="8" t="n"/>
    </row>
    <row r="33">
      <c r="A33" s="14" t="n"/>
      <c r="B33" s="9" t="n"/>
      <c r="C33" s="9" t="n"/>
      <c r="D33" s="9" t="n"/>
      <c r="E33" s="13">
        <f>IF(OR(B33="",C33="",D33=""),"",D33/C33*100)</f>
        <v/>
      </c>
      <c r="F33" s="8" t="n"/>
    </row>
    <row r="34">
      <c r="A34" s="14" t="n"/>
      <c r="B34" s="9" t="n"/>
      <c r="C34" s="9" t="n"/>
      <c r="D34" s="9" t="n"/>
      <c r="E34" s="13">
        <f>IF(OR(B34="",C34="",D34=""),"",D34/C34*100)</f>
        <v/>
      </c>
      <c r="F34" s="8" t="n"/>
    </row>
    <row r="35">
      <c r="A35" s="14" t="n"/>
      <c r="B35" s="9" t="n"/>
      <c r="C35" s="9" t="n"/>
      <c r="D35" s="9" t="n"/>
      <c r="E35" s="13">
        <f>IF(OR(B35="",C35="",D35=""),"",D35/C35*100)</f>
        <v/>
      </c>
      <c r="F35" s="8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2026-07-21T14:08:31Z</dcterms:created>
  <dcterms:modified xmlns:dcterms="http://purl.org/dc/terms/" xmlns:xsi="http://www.w3.org/2001/XMLSchema-instance" xsi:type="dcterms:W3CDTF">2026-07-21T14:09:02Z</dcterms:modified>
</cp:coreProperties>
</file>