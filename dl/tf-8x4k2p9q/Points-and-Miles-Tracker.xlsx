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xr:revisionPtr revIDLastSave="0" documentId="8_{0ADF2348-1455-E747-BF1C-C5EFAC1BE36A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ead Me" sheetId="1" r:id="rId1"/>
    <sheet name="Summary" sheetId="2" r:id="rId2"/>
    <sheet name="Balances" sheetId="3" r:id="rId3"/>
    <sheet name="Redemption Log" sheetId="4" r:id="rId4"/>
  </sheets>
  <definedNames>
    <definedName name="_xlnm.Print_Area" localSheetId="2">Balances!$A$1:$I$38</definedName>
    <definedName name="_xlnm.Print_Area" localSheetId="0">'Read Me'!$A$1:$B$14</definedName>
    <definedName name="_xlnm.Print_Area" localSheetId="3">'Redemption Log'!$A$1:$F$35</definedName>
    <definedName name="_xlnm.Print_Area" localSheetId="1">Summary!$A$1:$D$31</definedName>
    <definedName name="_xlnm.Print_Titles" localSheetId="2">Balances!$5:$5</definedName>
    <definedName name="_xlnm.Print_Titles" localSheetId="3">'Redemption Log'!$5:$5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4" l="1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G35" i="3"/>
  <c r="E35" i="3"/>
  <c r="G34" i="3"/>
  <c r="E34" i="3"/>
  <c r="G33" i="3"/>
  <c r="E33" i="3"/>
  <c r="G32" i="3"/>
  <c r="E32" i="3"/>
  <c r="G31" i="3"/>
  <c r="E31" i="3"/>
  <c r="G30" i="3"/>
  <c r="E30" i="3"/>
  <c r="G29" i="3"/>
  <c r="E29" i="3"/>
  <c r="G28" i="3"/>
  <c r="E28" i="3"/>
  <c r="G27" i="3"/>
  <c r="E27" i="3"/>
  <c r="G26" i="3"/>
  <c r="E26" i="3"/>
  <c r="G25" i="3"/>
  <c r="E25" i="3"/>
  <c r="G24" i="3"/>
  <c r="E24" i="3"/>
  <c r="G23" i="3"/>
  <c r="E23" i="3"/>
  <c r="G22" i="3"/>
  <c r="E22" i="3"/>
  <c r="G21" i="3"/>
  <c r="E21" i="3"/>
  <c r="G20" i="3"/>
  <c r="E20" i="3"/>
  <c r="G19" i="3"/>
  <c r="E19" i="3"/>
  <c r="G18" i="3"/>
  <c r="E18" i="3"/>
  <c r="G17" i="3"/>
  <c r="E17" i="3"/>
  <c r="G16" i="3"/>
  <c r="E16" i="3"/>
  <c r="G15" i="3"/>
  <c r="E15" i="3"/>
  <c r="G14" i="3"/>
  <c r="E14" i="3"/>
  <c r="G13" i="3"/>
  <c r="E13" i="3"/>
  <c r="G12" i="3"/>
  <c r="E12" i="3"/>
  <c r="G11" i="3"/>
  <c r="E11" i="3"/>
  <c r="G10" i="3"/>
  <c r="E10" i="3"/>
  <c r="G9" i="3"/>
  <c r="E9" i="3"/>
  <c r="G8" i="3"/>
  <c r="E8" i="3"/>
  <c r="G7" i="3"/>
  <c r="E7" i="3"/>
  <c r="G6" i="3"/>
  <c r="D38" i="3" s="1"/>
  <c r="E6" i="3"/>
  <c r="C7" i="2" s="1"/>
  <c r="C10" i="2"/>
  <c r="C9" i="2"/>
  <c r="C6" i="2"/>
  <c r="C5" i="2"/>
  <c r="C11" i="2" l="1"/>
  <c r="D37" i="3"/>
  <c r="C8" i="2"/>
</calcChain>
</file>

<file path=xl/sharedStrings.xml><?xml version="1.0" encoding="utf-8"?>
<sst xmlns="http://schemas.openxmlformats.org/spreadsheetml/2006/main" count="59" uniqueCount="53">
  <si>
    <t>How to use this template</t>
  </si>
  <si>
    <t>Start here — 2-minute setup.</t>
  </si>
  <si>
    <t>Travel &amp; Finance  ·  travelfinancetips.com   —   Educational only, not financial advice.</t>
  </si>
  <si>
    <t>Points &amp; Miles Tracker</t>
  </si>
  <si>
    <t>Keep every points and miles balance in one place, get flagged before anything expires, and log redemptions so you can see your best cents-per-point.</t>
  </si>
  <si>
    <t>How to use it</t>
  </si>
  <si>
    <t>1. 'Balances' tab: list each program (Amex MR, Chase UR, AA, Delta, Hilton, cashback, etc.), your balance, a rough value per point, and — if the program expires — the expiry date.</t>
  </si>
  <si>
    <t>2. The Est. Value and an Expiry Risk flag calculate automatically. Anything expiring within 90 days shows '⏰ SOON'. Leave the Expires cell blank for points that don't expire.</t>
  </si>
  <si>
    <t>3. 'Redemption Log' tab: every time you cash points in, log the points used and the cash value you got — it computes your cents-per-point so you learn your best redemptions.</t>
  </si>
  <si>
    <t>Tip: Amex MR and Chase UR usually don't expire while the account is open. Airline and hotel points often do.</t>
  </si>
  <si>
    <t>Works in Excel, Google Sheets and Numbers. Google Sheets: upload to Drive, then Open with → Google Sheets.</t>
  </si>
  <si>
    <t>Your Points at a Glance</t>
  </si>
  <si>
    <t>Updates as you fill in Balances and the Redemption Log.</t>
  </si>
  <si>
    <t>Travel &amp; Finance  ·  travelfinancetips.com</t>
  </si>
  <si>
    <t>Programs tracked</t>
  </si>
  <si>
    <t>Total points &amp; miles</t>
  </si>
  <si>
    <t>Estimated total value</t>
  </si>
  <si>
    <t>Balances expiring within 90 days</t>
  </si>
  <si>
    <t>Redemptions logged</t>
  </si>
  <si>
    <t>Your average value per point</t>
  </si>
  <si>
    <t>Best redemption (¢ per point)</t>
  </si>
  <si>
    <t>Green in the log = 1.5¢+ per point (a strong redemption). Red = under 1¢ (cash back would have beaten it).</t>
  </si>
  <si>
    <t>Points &amp; Miles — Balances</t>
  </si>
  <si>
    <t>List every balance. Leave 'Expires' blank if it doesn't expire.</t>
  </si>
  <si>
    <t>Program</t>
  </si>
  <si>
    <t>Type</t>
  </si>
  <si>
    <t>Balance</t>
  </si>
  <si>
    <t>Value
per pt (¢)</t>
  </si>
  <si>
    <t>Est. Value
($)</t>
  </si>
  <si>
    <t>Expires</t>
  </si>
  <si>
    <t>Expiry
Risk</t>
  </si>
  <si>
    <t>Last
Activity</t>
  </si>
  <si>
    <t>Notes</t>
  </si>
  <si>
    <t>Amex Membership Rewards</t>
  </si>
  <si>
    <t>Transferable</t>
  </si>
  <si>
    <t>Transfer partner sweet spots</t>
  </si>
  <si>
    <t>Chase Ultimate Rewards</t>
  </si>
  <si>
    <t>American AAdvantage</t>
  </si>
  <si>
    <t>Airline</t>
  </si>
  <si>
    <t>Keep active to avoid expiry</t>
  </si>
  <si>
    <t>Hilton Honors</t>
  </si>
  <si>
    <t>Hotel</t>
  </si>
  <si>
    <t>Total portfolio value:</t>
  </si>
  <si>
    <t>Balances expiring within 90 days:</t>
  </si>
  <si>
    <t>Redemption Log</t>
  </si>
  <si>
    <t>Log every redemption — cents-per-point calculates so you learn your best value.</t>
  </si>
  <si>
    <t>Date</t>
  </si>
  <si>
    <t>Points
Used</t>
  </si>
  <si>
    <t>Cash Value
Received ($)</t>
  </si>
  <si>
    <t>Cents
per pt</t>
  </si>
  <si>
    <t>What it was for</t>
  </si>
  <si>
    <t>2 biz-class seats to Europe</t>
  </si>
  <si>
    <t>Hyatt 2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</si>
</sst>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&quot;¢&quot;"/>
    <numFmt numFmtId="165" formatCode="yyyy\-mm\-dd"/>
    <numFmt numFmtId="166" formatCode="&quot;$&quot;#,##0"/>
    <numFmt numFmtId="167" formatCode="0.00&quot; ¢&quot;"/>
    <numFmt numFmtId="168" formatCode="0.0#"/>
  </numFmts>
  <fonts count="14" x14ac:knownFonts="1">
    <font>
      <sz val="11"/>
      <color theme="1"/>
      <name val="Calibri"/>
      <family val="2"/>
      <scheme val="minor"/>
    </font>
    <font>
      <sz val="10"/>
      <color rgb="FF1A1A1A"/>
      <name val="Calibri"/>
      <family val="2"/>
    </font>
    <font>
      <b/>
      <sz val="18"/>
      <color rgb="FFFFFFFF"/>
      <name val="Georgia"/>
      <family val="1"/>
    </font>
    <font>
      <sz val="10"/>
      <color rgb="FFD5DBE7"/>
      <name val="Arial"/>
      <family val="2"/>
    </font>
    <font>
      <b/>
      <sz val="9"/>
      <color rgb="FFC8A24A"/>
      <name val="Arial"/>
      <family val="2"/>
    </font>
    <font>
      <b/>
      <sz val="12"/>
      <color rgb="FF0F1E3D"/>
      <name val="Arial"/>
      <family val="2"/>
    </font>
    <font>
      <sz val="10"/>
      <color rgb="FF1B2333"/>
      <name val="Arial"/>
      <family val="2"/>
    </font>
    <font>
      <i/>
      <sz val="10"/>
      <color rgb="FF6B7A82"/>
      <name val="Arial"/>
      <family val="2"/>
    </font>
    <font>
      <b/>
      <sz val="11"/>
      <color rgb="FF0F1E3D"/>
      <name val="Arial"/>
      <family val="2"/>
    </font>
    <font>
      <b/>
      <sz val="14"/>
      <color rgb="FF0F1E3D"/>
      <name val="Georgia"/>
      <family val="1"/>
    </font>
    <font>
      <i/>
      <sz val="9"/>
      <color rgb="FF5A6B7A"/>
      <name val="Arial"/>
      <family val="2"/>
    </font>
    <font>
      <b/>
      <sz val="10"/>
      <color rgb="FFFFFFFF"/>
      <name val="Arial"/>
      <family val="2"/>
    </font>
    <font>
      <sz val="11"/>
      <color rgb="FF1B2333"/>
      <name val="Arial"/>
      <family val="2"/>
    </font>
    <font>
      <b/>
      <sz val="10"/>
      <color rgb="FF0F1E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4F6FA"/>
      </patternFill>
    </fill>
    <fill>
      <patternFill patternType="solid">
        <fgColor rgb="FF16294F"/>
      </patternFill>
    </fill>
  </fills>
  <borders count="4">
    <border>
      <left/>
      <right/>
      <top/>
      <bottom/>
      <diagonal/>
    </border>
    <border>
      <left style="thin">
        <color rgb="FFD0D7DC"/>
      </left>
      <right style="thin">
        <color rgb="FFD0D7DC"/>
      </right>
      <top style="thin">
        <color rgb="FFD0D7DC"/>
      </top>
      <bottom style="thin">
        <color rgb="FFD0D7DC"/>
      </bottom>
      <diagonal/>
    </border>
    <border>
      <left style="thin">
        <color rgb="FFE7EBF2"/>
      </left>
      <right style="thin">
        <color rgb="FFE7EBF2"/>
      </right>
      <top style="thin">
        <color rgb="FFE7EBF2"/>
      </top>
      <bottom style="thin">
        <color rgb="FFE7EBF2"/>
      </bottom>
      <diagonal/>
    </border>
    <border>
      <left style="thin">
        <color rgb="FF16294F"/>
      </left>
      <right style="thin">
        <color rgb="FF16294F"/>
      </right>
      <top style="thin">
        <color rgb="FF16294F"/>
      </top>
      <bottom style="medium">
        <color rgb="FFC8A24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8" fillId="3" borderId="2" xfId="0" applyFont="1" applyFill="1" applyBorder="1" applyAlignment="1">
      <alignment vertical="center"/>
    </xf>
    <xf numFmtId="1" fontId="9" fillId="3" borderId="2" xfId="0" applyNumberFormat="1" applyFont="1" applyFill="1" applyBorder="1" applyAlignment="1">
      <alignment horizontal="right" vertical="center" shrinkToFit="1"/>
    </xf>
    <xf numFmtId="3" fontId="9" fillId="3" borderId="2" xfId="0" applyNumberFormat="1" applyFont="1" applyFill="1" applyBorder="1" applyAlignment="1">
      <alignment horizontal="right" vertical="center" shrinkToFit="1"/>
    </xf>
    <xf numFmtId="166" fontId="9" fillId="3" borderId="2" xfId="0" applyNumberFormat="1" applyFont="1" applyFill="1" applyBorder="1" applyAlignment="1">
      <alignment horizontal="right" vertical="center" shrinkToFit="1"/>
    </xf>
    <xf numFmtId="167" fontId="9" fillId="3" borderId="2" xfId="0" applyNumberFormat="1" applyFont="1" applyFill="1" applyBorder="1" applyAlignment="1">
      <alignment horizontal="right" vertical="center" shrinkToFit="1"/>
    </xf>
    <xf numFmtId="0" fontId="10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66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6" fontId="8" fillId="3" borderId="2" xfId="0" applyNumberFormat="1" applyFont="1" applyFill="1" applyBorder="1" applyAlignment="1">
      <alignment vertical="center"/>
    </xf>
    <xf numFmtId="166" fontId="12" fillId="0" borderId="1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 indent="1"/>
    </xf>
    <xf numFmtId="0" fontId="0" fillId="0" borderId="0" xfId="0"/>
    <xf numFmtId="0" fontId="3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13" fillId="0" borderId="0" xfId="0" applyFont="1"/>
  </cellXfs>
  <cellStyles count="1">
    <cellStyle name="Normal" xfId="0" builtinId="0"/>
  </cellStyles>
  <dxfs count="4">
    <dxf>
      <font>
        <b/>
        <color rgb="FF9B1C1C"/>
      </font>
      <fill>
        <patternFill patternType="solid">
          <fgColor rgb="FFFBE0E0"/>
        </patternFill>
      </fill>
    </dxf>
    <dxf>
      <font>
        <b/>
        <color rgb="FF1E6B34"/>
      </font>
      <fill>
        <patternFill patternType="solid">
          <fgColor rgb="FFDFF3E4"/>
        </patternFill>
      </fill>
    </dxf>
    <dxf>
      <font>
        <b/>
        <color rgb="FF1B7A3D"/>
      </font>
      <fill>
        <patternFill patternType="solid">
          <fgColor rgb="FFD6F0DD"/>
        </patternFill>
      </fill>
    </dxf>
    <dxf>
      <font>
        <b/>
        <color rgb="FF9E1B1B"/>
      </font>
      <fill>
        <patternFill patternType="solid">
          <fgColor rgb="FFF8D2D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What each balance is worth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Est. value ($)</c:v>
          </c:tx>
          <c:spPr>
            <a:solidFill>
              <a:srgbClr val="C8A24A"/>
            </a:solidFill>
            <a:ln>
              <a:solidFill>
                <a:srgbClr val="C8A24A"/>
              </a:solidFill>
              <a:prstDash val="solid"/>
            </a:ln>
          </c:spPr>
          <c:invertIfNegative val="1"/>
          <c:cat>
            <c:strRef>
              <c:f>Balances!$A$6:$A$20</c:f>
              <c:strCache>
                <c:ptCount val="4"/>
                <c:pt idx="0">
                  <c:v>Amex Membership Rewards</c:v>
                </c:pt>
                <c:pt idx="1">
                  <c:v>Chase Ultimate Rewards</c:v>
                </c:pt>
                <c:pt idx="2">
                  <c:v>American AAdvantage</c:v>
                </c:pt>
                <c:pt idx="3">
                  <c:v>Hilton Honors</c:v>
                </c:pt>
              </c:strCache>
            </c:strRef>
          </c:cat>
          <c:val>
            <c:numRef>
              <c:f>Balances!$E$6:$E$20</c:f>
              <c:numCache>
                <c:formatCode>"$"#,##0</c:formatCode>
                <c:ptCount val="15"/>
                <c:pt idx="0">
                  <c:v>1320</c:v>
                </c:pt>
                <c:pt idx="1">
                  <c:v>892.5</c:v>
                </c:pt>
                <c:pt idx="2">
                  <c:v>594.99999999999989</c:v>
                </c:pt>
                <c:pt idx="3">
                  <c:v>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C8A24A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58-154C-978C-48934F1F9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</xdr:row>
      <xdr:rowOff>0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24A"/>
    <pageSetUpPr fitToPage="1"/>
  </sheetPr>
  <dimension ref="A1:F14"/>
  <sheetViews>
    <sheetView showGridLines="0" tabSelected="1" workbookViewId="0">
      <selection sqref="A1:F1"/>
    </sheetView>
  </sheetViews>
  <sheetFormatPr baseColWidth="10" defaultColWidth="8.83203125" defaultRowHeight="15" x14ac:dyDescent="0.2"/>
  <cols>
    <col min="1" max="1" width="3" customWidth="1"/>
    <col min="2" max="2" width="100" customWidth="1"/>
  </cols>
  <sheetData>
    <row r="1" spans="1:6" ht="26" customHeight="1" x14ac:dyDescent="0.2">
      <c r="A1" s="34" t="s">
        <v>0</v>
      </c>
      <c r="B1" s="32"/>
      <c r="C1" s="32"/>
      <c r="D1" s="32"/>
      <c r="E1" s="32"/>
      <c r="F1" s="32"/>
    </row>
    <row r="2" spans="1:6" ht="16" customHeight="1" x14ac:dyDescent="0.2">
      <c r="A2" s="33" t="s">
        <v>1</v>
      </c>
      <c r="B2" s="32"/>
      <c r="C2" s="32"/>
      <c r="D2" s="32"/>
      <c r="E2" s="32"/>
      <c r="F2" s="32"/>
    </row>
    <row r="3" spans="1:6" ht="15" customHeight="1" x14ac:dyDescent="0.2">
      <c r="A3" s="31" t="s">
        <v>2</v>
      </c>
      <c r="B3" s="32"/>
      <c r="C3" s="32"/>
      <c r="D3" s="32"/>
      <c r="E3" s="32"/>
      <c r="F3" s="32"/>
    </row>
    <row r="5" spans="1:6" ht="16" x14ac:dyDescent="0.2">
      <c r="B5" s="8" t="s">
        <v>3</v>
      </c>
    </row>
    <row r="6" spans="1:6" ht="29" x14ac:dyDescent="0.2">
      <c r="B6" s="9" t="s">
        <v>4</v>
      </c>
    </row>
    <row r="7" spans="1:6" x14ac:dyDescent="0.2">
      <c r="B7" s="1"/>
    </row>
    <row r="8" spans="1:6" ht="16" x14ac:dyDescent="0.2">
      <c r="B8" s="8" t="s">
        <v>5</v>
      </c>
    </row>
    <row r="9" spans="1:6" ht="29" x14ac:dyDescent="0.2">
      <c r="B9" s="9" t="s">
        <v>6</v>
      </c>
    </row>
    <row r="10" spans="1:6" ht="29" x14ac:dyDescent="0.2">
      <c r="B10" s="9" t="s">
        <v>7</v>
      </c>
    </row>
    <row r="11" spans="1:6" ht="29" x14ac:dyDescent="0.2">
      <c r="B11" s="9" t="s">
        <v>8</v>
      </c>
    </row>
    <row r="12" spans="1:6" x14ac:dyDescent="0.2">
      <c r="B12" s="1"/>
    </row>
    <row r="13" spans="1:6" x14ac:dyDescent="0.2">
      <c r="B13" s="10" t="s">
        <v>9</v>
      </c>
    </row>
    <row r="14" spans="1:6" x14ac:dyDescent="0.2">
      <c r="B14" s="10" t="s">
        <v>10</v>
      </c>
    </row>
  </sheetData>
  <mergeCells count="3">
    <mergeCell ref="A3:F3"/>
    <mergeCell ref="A2:F2"/>
    <mergeCell ref="A1:F1"/>
  </mergeCell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A24A"/>
    <pageSetUpPr fitToPage="1"/>
  </sheetPr>
  <dimension ref="A1:D13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8" customWidth="1"/>
    <col min="3" max="3" width="22" customWidth="1"/>
    <col min="4" max="4" width="30" customWidth="1"/>
  </cols>
  <sheetData>
    <row r="1" spans="1:4" ht="26" customHeight="1" x14ac:dyDescent="0.25">
      <c r="A1" s="11" t="s">
        <v>11</v>
      </c>
      <c r="B1" s="11"/>
      <c r="C1" s="11"/>
      <c r="D1" s="11"/>
    </row>
    <row r="2" spans="1:4" x14ac:dyDescent="0.2">
      <c r="A2" s="12" t="s">
        <v>12</v>
      </c>
      <c r="B2" s="12"/>
      <c r="C2" s="12"/>
      <c r="D2" s="12"/>
    </row>
    <row r="3" spans="1:4" x14ac:dyDescent="0.2">
      <c r="A3" s="13" t="s">
        <v>13</v>
      </c>
      <c r="B3" s="13"/>
      <c r="C3" s="13"/>
      <c r="D3" s="13"/>
    </row>
    <row r="5" spans="1:4" ht="24" customHeight="1" x14ac:dyDescent="0.2">
      <c r="B5" s="14" t="s">
        <v>14</v>
      </c>
      <c r="C5" s="15">
        <f>COUNTA(Balances!A6:A35)</f>
        <v>4</v>
      </c>
    </row>
    <row r="6" spans="1:4" ht="24" customHeight="1" x14ac:dyDescent="0.2">
      <c r="B6" s="14" t="s">
        <v>15</v>
      </c>
      <c r="C6" s="16">
        <f>SUM(Balances!C6:C35)</f>
        <v>307500</v>
      </c>
    </row>
    <row r="7" spans="1:4" ht="24" customHeight="1" x14ac:dyDescent="0.2">
      <c r="B7" s="14" t="s">
        <v>16</v>
      </c>
      <c r="C7" s="17">
        <f>SUM(Balances!E6:E35)</f>
        <v>3107.5</v>
      </c>
    </row>
    <row r="8" spans="1:4" ht="24" customHeight="1" x14ac:dyDescent="0.2">
      <c r="B8" s="14" t="s">
        <v>17</v>
      </c>
      <c r="C8" s="15">
        <f ca="1">COUNTIF(Balances!G6:G35,"SOON")</f>
        <v>1</v>
      </c>
    </row>
    <row r="9" spans="1:4" ht="24" customHeight="1" x14ac:dyDescent="0.2">
      <c r="B9" s="14" t="s">
        <v>18</v>
      </c>
      <c r="C9" s="15">
        <f>COUNT('Redemption Log'!C6:C35)</f>
        <v>2</v>
      </c>
    </row>
    <row r="10" spans="1:4" ht="24" customHeight="1" x14ac:dyDescent="0.2">
      <c r="B10" s="14" t="s">
        <v>19</v>
      </c>
      <c r="C10" s="18">
        <f>IF(SUM('Redemption Log'!C6:C35)=0,"—",SUMIF('Redemption Log'!C6:C35,"&gt;0",'Redemption Log'!D6:D35)/SUM('Redemption Log'!C6:C35)*100)</f>
        <v>1.8739130434782609</v>
      </c>
    </row>
    <row r="11" spans="1:4" ht="24" customHeight="1" x14ac:dyDescent="0.2">
      <c r="B11" s="14" t="s">
        <v>20</v>
      </c>
      <c r="C11" s="18">
        <f>IF(COUNT('Redemption Log'!E6:E35)=0,"—",MAX('Redemption Log'!E6:E35))</f>
        <v>1.9777777777777776</v>
      </c>
    </row>
    <row r="13" spans="1:4" x14ac:dyDescent="0.2">
      <c r="B13" s="19" t="s">
        <v>21</v>
      </c>
    </row>
  </sheetData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6294F"/>
    <pageSetUpPr fitToPage="1"/>
  </sheetPr>
  <dimension ref="A1:I38"/>
  <sheetViews>
    <sheetView workbookViewId="0"/>
  </sheetViews>
  <sheetFormatPr baseColWidth="10" defaultColWidth="8.83203125" defaultRowHeight="15" x14ac:dyDescent="0.2"/>
  <cols>
    <col min="1" max="1" width="26" customWidth="1"/>
    <col min="2" max="2" width="14" customWidth="1"/>
    <col min="3" max="3" width="12" customWidth="1"/>
    <col min="4" max="4" width="9" customWidth="1"/>
    <col min="5" max="5" width="11" customWidth="1"/>
    <col min="6" max="6" width="12" customWidth="1"/>
    <col min="7" max="7" width="11" customWidth="1"/>
    <col min="8" max="8" width="12" customWidth="1"/>
    <col min="9" max="9" width="26" customWidth="1"/>
  </cols>
  <sheetData>
    <row r="1" spans="1:9" ht="26" customHeight="1" x14ac:dyDescent="0.2">
      <c r="A1" s="34" t="s">
        <v>22</v>
      </c>
      <c r="B1" s="32"/>
      <c r="C1" s="32"/>
      <c r="D1" s="32"/>
      <c r="E1" s="32"/>
      <c r="F1" s="32"/>
      <c r="G1" s="32"/>
      <c r="H1" s="32"/>
      <c r="I1" s="32"/>
    </row>
    <row r="2" spans="1:9" ht="16" customHeight="1" x14ac:dyDescent="0.2">
      <c r="A2" s="33" t="s">
        <v>23</v>
      </c>
      <c r="B2" s="32"/>
      <c r="C2" s="32"/>
      <c r="D2" s="32"/>
      <c r="E2" s="32"/>
      <c r="F2" s="32"/>
      <c r="G2" s="32"/>
      <c r="H2" s="32"/>
      <c r="I2" s="32"/>
    </row>
    <row r="3" spans="1:9" ht="15" customHeight="1" x14ac:dyDescent="0.2">
      <c r="A3" s="31" t="s">
        <v>2</v>
      </c>
      <c r="B3" s="32"/>
      <c r="C3" s="32"/>
      <c r="D3" s="32"/>
      <c r="E3" s="32"/>
      <c r="F3" s="32"/>
      <c r="G3" s="32"/>
      <c r="H3" s="32"/>
      <c r="I3" s="32"/>
    </row>
    <row r="5" spans="1:9" ht="30" customHeight="1" x14ac:dyDescent="0.2">
      <c r="A5" s="20" t="s">
        <v>24</v>
      </c>
      <c r="B5" s="20" t="s">
        <v>25</v>
      </c>
      <c r="C5" s="20" t="s">
        <v>26</v>
      </c>
      <c r="D5" s="20" t="s">
        <v>27</v>
      </c>
      <c r="E5" s="20" t="s">
        <v>28</v>
      </c>
      <c r="F5" s="20" t="s">
        <v>29</v>
      </c>
      <c r="G5" s="20" t="s">
        <v>30</v>
      </c>
      <c r="H5" s="20" t="s">
        <v>31</v>
      </c>
      <c r="I5" s="20" t="s">
        <v>32</v>
      </c>
    </row>
    <row r="6" spans="1:9" x14ac:dyDescent="0.2">
      <c r="A6" s="21" t="s">
        <v>33</v>
      </c>
      <c r="B6" s="22" t="s">
        <v>34</v>
      </c>
      <c r="C6" s="23">
        <v>120000</v>
      </c>
      <c r="D6" s="24">
        <v>1.1000000000000001</v>
      </c>
      <c r="E6" s="25">
        <f t="shared" ref="E6:E35" si="0">IF(A6="","",IF(OR(C6="",D6=""),0,C6*D6/100))</f>
        <v>1320</v>
      </c>
      <c r="F6" s="4"/>
      <c r="G6" s="26" t="str">
        <f t="shared" ref="G6:G35" ca="1" si="1">IF(A6="","",IF(F6="","—",IF(F6&lt;=TODAY()+90,"SOON","OK")))</f>
        <v>—</v>
      </c>
      <c r="H6" s="27">
        <v>46204</v>
      </c>
      <c r="I6" s="21" t="s">
        <v>35</v>
      </c>
    </row>
    <row r="7" spans="1:9" x14ac:dyDescent="0.2">
      <c r="A7" s="21" t="s">
        <v>36</v>
      </c>
      <c r="B7" s="22" t="s">
        <v>34</v>
      </c>
      <c r="C7" s="23">
        <v>85000</v>
      </c>
      <c r="D7" s="24">
        <v>1.05</v>
      </c>
      <c r="E7" s="25">
        <f t="shared" si="0"/>
        <v>892.5</v>
      </c>
      <c r="F7" s="4"/>
      <c r="G7" s="26" t="str">
        <f t="shared" ca="1" si="1"/>
        <v>—</v>
      </c>
      <c r="H7" s="27">
        <v>46213</v>
      </c>
      <c r="I7" s="2"/>
    </row>
    <row r="8" spans="1:9" x14ac:dyDescent="0.2">
      <c r="A8" s="21" t="s">
        <v>37</v>
      </c>
      <c r="B8" s="22" t="s">
        <v>38</v>
      </c>
      <c r="C8" s="23">
        <v>42500</v>
      </c>
      <c r="D8" s="24">
        <v>1.4</v>
      </c>
      <c r="E8" s="25">
        <f t="shared" si="0"/>
        <v>594.99999999999989</v>
      </c>
      <c r="F8" s="27">
        <v>46327</v>
      </c>
      <c r="G8" s="26" t="str">
        <f t="shared" ca="1" si="1"/>
        <v>SOON</v>
      </c>
      <c r="H8" s="27">
        <v>46068</v>
      </c>
      <c r="I8" s="21" t="s">
        <v>39</v>
      </c>
    </row>
    <row r="9" spans="1:9" x14ac:dyDescent="0.2">
      <c r="A9" s="21" t="s">
        <v>40</v>
      </c>
      <c r="B9" s="22" t="s">
        <v>41</v>
      </c>
      <c r="C9" s="23">
        <v>60000</v>
      </c>
      <c r="D9" s="24">
        <v>0.5</v>
      </c>
      <c r="E9" s="25">
        <f t="shared" si="0"/>
        <v>300</v>
      </c>
      <c r="F9" s="4"/>
      <c r="G9" s="26" t="str">
        <f t="shared" ca="1" si="1"/>
        <v>—</v>
      </c>
      <c r="H9" s="27">
        <v>46193</v>
      </c>
      <c r="I9" s="2"/>
    </row>
    <row r="10" spans="1:9" x14ac:dyDescent="0.2">
      <c r="A10" s="2"/>
      <c r="B10" s="3"/>
      <c r="C10" s="5"/>
      <c r="D10" s="6"/>
      <c r="E10" s="25" t="str">
        <f t="shared" si="0"/>
        <v/>
      </c>
      <c r="F10" s="4"/>
      <c r="G10" s="26" t="str">
        <f t="shared" ca="1" si="1"/>
        <v/>
      </c>
      <c r="H10" s="4"/>
      <c r="I10" s="2"/>
    </row>
    <row r="11" spans="1:9" x14ac:dyDescent="0.2">
      <c r="A11" s="2"/>
      <c r="B11" s="3"/>
      <c r="C11" s="5"/>
      <c r="D11" s="6"/>
      <c r="E11" s="25" t="str">
        <f t="shared" si="0"/>
        <v/>
      </c>
      <c r="F11" s="4"/>
      <c r="G11" s="26" t="str">
        <f t="shared" ca="1" si="1"/>
        <v/>
      </c>
      <c r="H11" s="4"/>
      <c r="I11" s="2"/>
    </row>
    <row r="12" spans="1:9" x14ac:dyDescent="0.2">
      <c r="A12" s="2"/>
      <c r="B12" s="3"/>
      <c r="C12" s="5"/>
      <c r="D12" s="6"/>
      <c r="E12" s="25" t="str">
        <f t="shared" si="0"/>
        <v/>
      </c>
      <c r="F12" s="4"/>
      <c r="G12" s="26" t="str">
        <f t="shared" ca="1" si="1"/>
        <v/>
      </c>
      <c r="H12" s="4"/>
      <c r="I12" s="2"/>
    </row>
    <row r="13" spans="1:9" x14ac:dyDescent="0.2">
      <c r="A13" s="2"/>
      <c r="B13" s="3"/>
      <c r="C13" s="5"/>
      <c r="D13" s="6"/>
      <c r="E13" s="25" t="str">
        <f t="shared" si="0"/>
        <v/>
      </c>
      <c r="F13" s="4"/>
      <c r="G13" s="26" t="str">
        <f t="shared" ca="1" si="1"/>
        <v/>
      </c>
      <c r="H13" s="4"/>
      <c r="I13" s="2"/>
    </row>
    <row r="14" spans="1:9" x14ac:dyDescent="0.2">
      <c r="A14" s="2"/>
      <c r="B14" s="3"/>
      <c r="C14" s="5"/>
      <c r="D14" s="6"/>
      <c r="E14" s="25" t="str">
        <f t="shared" si="0"/>
        <v/>
      </c>
      <c r="F14" s="4"/>
      <c r="G14" s="26" t="str">
        <f t="shared" ca="1" si="1"/>
        <v/>
      </c>
      <c r="H14" s="4"/>
      <c r="I14" s="2"/>
    </row>
    <row r="15" spans="1:9" x14ac:dyDescent="0.2">
      <c r="A15" s="2"/>
      <c r="B15" s="3"/>
      <c r="C15" s="5"/>
      <c r="D15" s="6"/>
      <c r="E15" s="25" t="str">
        <f t="shared" si="0"/>
        <v/>
      </c>
      <c r="F15" s="4"/>
      <c r="G15" s="26" t="str">
        <f t="shared" ca="1" si="1"/>
        <v/>
      </c>
      <c r="H15" s="4"/>
      <c r="I15" s="2"/>
    </row>
    <row r="16" spans="1:9" x14ac:dyDescent="0.2">
      <c r="A16" s="2"/>
      <c r="B16" s="3"/>
      <c r="C16" s="5"/>
      <c r="D16" s="6"/>
      <c r="E16" s="25" t="str">
        <f t="shared" si="0"/>
        <v/>
      </c>
      <c r="F16" s="4"/>
      <c r="G16" s="26" t="str">
        <f t="shared" ca="1" si="1"/>
        <v/>
      </c>
      <c r="H16" s="4"/>
      <c r="I16" s="2"/>
    </row>
    <row r="17" spans="1:9" x14ac:dyDescent="0.2">
      <c r="A17" s="2"/>
      <c r="B17" s="3"/>
      <c r="C17" s="5"/>
      <c r="D17" s="6"/>
      <c r="E17" s="25" t="str">
        <f t="shared" si="0"/>
        <v/>
      </c>
      <c r="F17" s="4"/>
      <c r="G17" s="26" t="str">
        <f t="shared" ca="1" si="1"/>
        <v/>
      </c>
      <c r="H17" s="4"/>
      <c r="I17" s="2"/>
    </row>
    <row r="18" spans="1:9" x14ac:dyDescent="0.2">
      <c r="A18" s="2"/>
      <c r="B18" s="3"/>
      <c r="C18" s="5"/>
      <c r="D18" s="6"/>
      <c r="E18" s="25" t="str">
        <f t="shared" si="0"/>
        <v/>
      </c>
      <c r="F18" s="4"/>
      <c r="G18" s="26" t="str">
        <f t="shared" ca="1" si="1"/>
        <v/>
      </c>
      <c r="H18" s="4"/>
      <c r="I18" s="2"/>
    </row>
    <row r="19" spans="1:9" x14ac:dyDescent="0.2">
      <c r="A19" s="2"/>
      <c r="B19" s="3"/>
      <c r="C19" s="5"/>
      <c r="D19" s="6"/>
      <c r="E19" s="25" t="str">
        <f t="shared" si="0"/>
        <v/>
      </c>
      <c r="F19" s="4"/>
      <c r="G19" s="26" t="str">
        <f t="shared" ca="1" si="1"/>
        <v/>
      </c>
      <c r="H19" s="4"/>
      <c r="I19" s="2"/>
    </row>
    <row r="20" spans="1:9" x14ac:dyDescent="0.2">
      <c r="A20" s="2"/>
      <c r="B20" s="3"/>
      <c r="C20" s="5"/>
      <c r="D20" s="6"/>
      <c r="E20" s="25" t="str">
        <f t="shared" si="0"/>
        <v/>
      </c>
      <c r="F20" s="4"/>
      <c r="G20" s="26" t="str">
        <f t="shared" ca="1" si="1"/>
        <v/>
      </c>
      <c r="H20" s="4"/>
      <c r="I20" s="2"/>
    </row>
    <row r="21" spans="1:9" x14ac:dyDescent="0.2">
      <c r="A21" s="2"/>
      <c r="B21" s="3"/>
      <c r="C21" s="5"/>
      <c r="D21" s="6"/>
      <c r="E21" s="25" t="str">
        <f t="shared" si="0"/>
        <v/>
      </c>
      <c r="F21" s="4"/>
      <c r="G21" s="26" t="str">
        <f t="shared" ca="1" si="1"/>
        <v/>
      </c>
      <c r="H21" s="4"/>
      <c r="I21" s="2"/>
    </row>
    <row r="22" spans="1:9" x14ac:dyDescent="0.2">
      <c r="A22" s="2"/>
      <c r="B22" s="3"/>
      <c r="C22" s="5"/>
      <c r="D22" s="6"/>
      <c r="E22" s="25" t="str">
        <f t="shared" si="0"/>
        <v/>
      </c>
      <c r="F22" s="4"/>
      <c r="G22" s="26" t="str">
        <f t="shared" ca="1" si="1"/>
        <v/>
      </c>
      <c r="H22" s="4"/>
      <c r="I22" s="2"/>
    </row>
    <row r="23" spans="1:9" x14ac:dyDescent="0.2">
      <c r="A23" s="2"/>
      <c r="B23" s="3"/>
      <c r="C23" s="5"/>
      <c r="D23" s="6"/>
      <c r="E23" s="25" t="str">
        <f t="shared" si="0"/>
        <v/>
      </c>
      <c r="F23" s="4"/>
      <c r="G23" s="26" t="str">
        <f t="shared" ca="1" si="1"/>
        <v/>
      </c>
      <c r="H23" s="4"/>
      <c r="I23" s="2"/>
    </row>
    <row r="24" spans="1:9" x14ac:dyDescent="0.2">
      <c r="A24" s="2"/>
      <c r="B24" s="3"/>
      <c r="C24" s="5"/>
      <c r="D24" s="6"/>
      <c r="E24" s="25" t="str">
        <f t="shared" si="0"/>
        <v/>
      </c>
      <c r="F24" s="4"/>
      <c r="G24" s="26" t="str">
        <f t="shared" ca="1" si="1"/>
        <v/>
      </c>
      <c r="H24" s="4"/>
      <c r="I24" s="2"/>
    </row>
    <row r="25" spans="1:9" x14ac:dyDescent="0.2">
      <c r="A25" s="2"/>
      <c r="B25" s="3"/>
      <c r="C25" s="5"/>
      <c r="D25" s="6"/>
      <c r="E25" s="25" t="str">
        <f t="shared" si="0"/>
        <v/>
      </c>
      <c r="F25" s="4"/>
      <c r="G25" s="26" t="str">
        <f t="shared" ca="1" si="1"/>
        <v/>
      </c>
      <c r="H25" s="4"/>
      <c r="I25" s="2"/>
    </row>
    <row r="26" spans="1:9" x14ac:dyDescent="0.2">
      <c r="A26" s="2"/>
      <c r="B26" s="3"/>
      <c r="C26" s="5"/>
      <c r="D26" s="6"/>
      <c r="E26" s="25" t="str">
        <f t="shared" si="0"/>
        <v/>
      </c>
      <c r="F26" s="4"/>
      <c r="G26" s="26" t="str">
        <f t="shared" ca="1" si="1"/>
        <v/>
      </c>
      <c r="H26" s="4"/>
      <c r="I26" s="2"/>
    </row>
    <row r="27" spans="1:9" x14ac:dyDescent="0.2">
      <c r="A27" s="2"/>
      <c r="B27" s="3"/>
      <c r="C27" s="5"/>
      <c r="D27" s="6"/>
      <c r="E27" s="25" t="str">
        <f t="shared" si="0"/>
        <v/>
      </c>
      <c r="F27" s="4"/>
      <c r="G27" s="26" t="str">
        <f t="shared" ca="1" si="1"/>
        <v/>
      </c>
      <c r="H27" s="4"/>
      <c r="I27" s="2"/>
    </row>
    <row r="28" spans="1:9" x14ac:dyDescent="0.2">
      <c r="A28" s="2"/>
      <c r="B28" s="3"/>
      <c r="C28" s="5"/>
      <c r="D28" s="6"/>
      <c r="E28" s="25" t="str">
        <f t="shared" si="0"/>
        <v/>
      </c>
      <c r="F28" s="4"/>
      <c r="G28" s="26" t="str">
        <f t="shared" ca="1" si="1"/>
        <v/>
      </c>
      <c r="H28" s="4"/>
      <c r="I28" s="2"/>
    </row>
    <row r="29" spans="1:9" x14ac:dyDescent="0.2">
      <c r="A29" s="2"/>
      <c r="B29" s="3"/>
      <c r="C29" s="5"/>
      <c r="D29" s="6"/>
      <c r="E29" s="25" t="str">
        <f t="shared" si="0"/>
        <v/>
      </c>
      <c r="F29" s="4"/>
      <c r="G29" s="26" t="str">
        <f t="shared" ca="1" si="1"/>
        <v/>
      </c>
      <c r="H29" s="4"/>
      <c r="I29" s="2"/>
    </row>
    <row r="30" spans="1:9" x14ac:dyDescent="0.2">
      <c r="A30" s="2"/>
      <c r="B30" s="3"/>
      <c r="C30" s="5"/>
      <c r="D30" s="6"/>
      <c r="E30" s="25" t="str">
        <f t="shared" si="0"/>
        <v/>
      </c>
      <c r="F30" s="4"/>
      <c r="G30" s="26" t="str">
        <f t="shared" ca="1" si="1"/>
        <v/>
      </c>
      <c r="H30" s="4"/>
      <c r="I30" s="2"/>
    </row>
    <row r="31" spans="1:9" x14ac:dyDescent="0.2">
      <c r="A31" s="2"/>
      <c r="B31" s="3"/>
      <c r="C31" s="5"/>
      <c r="D31" s="6"/>
      <c r="E31" s="25" t="str">
        <f t="shared" si="0"/>
        <v/>
      </c>
      <c r="F31" s="4"/>
      <c r="G31" s="26" t="str">
        <f t="shared" ca="1" si="1"/>
        <v/>
      </c>
      <c r="H31" s="4"/>
      <c r="I31" s="2"/>
    </row>
    <row r="32" spans="1:9" x14ac:dyDescent="0.2">
      <c r="A32" s="2"/>
      <c r="B32" s="3"/>
      <c r="C32" s="5"/>
      <c r="D32" s="6"/>
      <c r="E32" s="25" t="str">
        <f t="shared" si="0"/>
        <v/>
      </c>
      <c r="F32" s="4"/>
      <c r="G32" s="26" t="str">
        <f t="shared" ca="1" si="1"/>
        <v/>
      </c>
      <c r="H32" s="4"/>
      <c r="I32" s="2"/>
    </row>
    <row r="33" spans="1:9" x14ac:dyDescent="0.2">
      <c r="A33" s="2"/>
      <c r="B33" s="3"/>
      <c r="C33" s="5"/>
      <c r="D33" s="6"/>
      <c r="E33" s="25" t="str">
        <f t="shared" si="0"/>
        <v/>
      </c>
      <c r="F33" s="4"/>
      <c r="G33" s="26" t="str">
        <f t="shared" ca="1" si="1"/>
        <v/>
      </c>
      <c r="H33" s="4"/>
      <c r="I33" s="2"/>
    </row>
    <row r="34" spans="1:9" x14ac:dyDescent="0.2">
      <c r="A34" s="2"/>
      <c r="B34" s="3"/>
      <c r="C34" s="5"/>
      <c r="D34" s="6"/>
      <c r="E34" s="25" t="str">
        <f t="shared" si="0"/>
        <v/>
      </c>
      <c r="F34" s="4"/>
      <c r="G34" s="26" t="str">
        <f t="shared" ca="1" si="1"/>
        <v/>
      </c>
      <c r="H34" s="4"/>
      <c r="I34" s="2"/>
    </row>
    <row r="35" spans="1:9" x14ac:dyDescent="0.2">
      <c r="A35" s="2"/>
      <c r="B35" s="3"/>
      <c r="C35" s="5"/>
      <c r="D35" s="6"/>
      <c r="E35" s="25" t="str">
        <f t="shared" si="0"/>
        <v/>
      </c>
      <c r="F35" s="4"/>
      <c r="G35" s="26" t="str">
        <f t="shared" ca="1" si="1"/>
        <v/>
      </c>
      <c r="H35" s="4"/>
      <c r="I35" s="2"/>
    </row>
    <row r="37" spans="1:9" x14ac:dyDescent="0.2">
      <c r="A37" s="35" t="s">
        <v>42</v>
      </c>
      <c r="B37" s="32"/>
      <c r="C37" s="32"/>
      <c r="D37" s="28">
        <f>SUM(E6:E35)</f>
        <v>3107.5</v>
      </c>
    </row>
    <row r="38" spans="1:9" x14ac:dyDescent="0.2">
      <c r="A38" s="35" t="s">
        <v>43</v>
      </c>
      <c r="B38" s="32"/>
      <c r="C38" s="32"/>
      <c r="D38" s="14">
        <f ca="1">COUNTIF(G6:G35,"SOON")</f>
        <v>1</v>
      </c>
    </row>
  </sheetData>
  <mergeCells count="5">
    <mergeCell ref="A2:I2"/>
    <mergeCell ref="A37:C37"/>
    <mergeCell ref="A1:I1"/>
    <mergeCell ref="A3:I3"/>
    <mergeCell ref="A38:C38"/>
  </mergeCells>
  <conditionalFormatting sqref="G6:G35">
    <cfRule type="cellIs" dxfId="3" priority="1" operator="equal">
      <formula>"SOON"</formula>
    </cfRule>
    <cfRule type="cellIs" dxfId="2" priority="2" operator="equal">
      <formula>"OK"</formula>
    </cfRule>
  </conditionalFormatting>
  <dataValidations count="3">
    <dataValidation type="list" allowBlank="1" sqref="B6:B35" xr:uid="{00000000-0002-0000-0200-000000000000}">
      <formula1>"Transferable,Airline,Hotel,Cash back,Other"</formula1>
    </dataValidation>
    <dataValidation type="whole" operator="greaterThanOrEqual" allowBlank="1" showErrorMessage="1" errorTitle="Balance" error="Whole number of points, 0 or more." sqref="C6:C35" xr:uid="{00000000-0002-0000-0200-000001000000}">
      <formula1>0</formula1>
    </dataValidation>
    <dataValidation type="decimal" allowBlank="1" showErrorMessage="1" errorTitle="Cents per point" error="Enter cents per point, e.g. 1.2." sqref="D6:D35" xr:uid="{00000000-0002-0000-0200-000002000000}">
      <formula1>0</formula1>
      <formula2>10</formula2>
    </dataValidation>
  </dataValidations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294F"/>
    <pageSetUpPr fitToPage="1"/>
  </sheetPr>
  <dimension ref="A1:F35"/>
  <sheetViews>
    <sheetView workbookViewId="0"/>
  </sheetViews>
  <sheetFormatPr baseColWidth="10" defaultColWidth="8.83203125" defaultRowHeight="15" x14ac:dyDescent="0.2"/>
  <cols>
    <col min="1" max="1" width="12" customWidth="1"/>
    <col min="2" max="2" width="26" customWidth="1"/>
    <col min="3" max="3" width="12" customWidth="1"/>
    <col min="4" max="4" width="13" customWidth="1"/>
    <col min="5" max="5" width="10" customWidth="1"/>
    <col min="6" max="6" width="34" customWidth="1"/>
  </cols>
  <sheetData>
    <row r="1" spans="1:6" ht="26" customHeight="1" x14ac:dyDescent="0.2">
      <c r="A1" s="34" t="s">
        <v>44</v>
      </c>
      <c r="B1" s="32"/>
      <c r="C1" s="32"/>
      <c r="D1" s="32"/>
      <c r="E1" s="32"/>
      <c r="F1" s="32"/>
    </row>
    <row r="2" spans="1:6" ht="16" customHeight="1" x14ac:dyDescent="0.2">
      <c r="A2" s="33" t="s">
        <v>45</v>
      </c>
      <c r="B2" s="32"/>
      <c r="C2" s="32"/>
      <c r="D2" s="32"/>
      <c r="E2" s="32"/>
      <c r="F2" s="32"/>
    </row>
    <row r="3" spans="1:6" ht="15" customHeight="1" x14ac:dyDescent="0.2">
      <c r="A3" s="31" t="s">
        <v>2</v>
      </c>
      <c r="B3" s="32"/>
      <c r="C3" s="32"/>
      <c r="D3" s="32"/>
      <c r="E3" s="32"/>
      <c r="F3" s="32"/>
    </row>
    <row r="5" spans="1:6" ht="30" customHeight="1" x14ac:dyDescent="0.2">
      <c r="A5" s="20" t="s">
        <v>46</v>
      </c>
      <c r="B5" s="20" t="s">
        <v>24</v>
      </c>
      <c r="C5" s="20" t="s">
        <v>47</v>
      </c>
      <c r="D5" s="20" t="s">
        <v>48</v>
      </c>
      <c r="E5" s="20" t="s">
        <v>49</v>
      </c>
      <c r="F5" s="20" t="s">
        <v>50</v>
      </c>
    </row>
    <row r="6" spans="1:6" x14ac:dyDescent="0.2">
      <c r="A6" s="27">
        <v>46083</v>
      </c>
      <c r="B6" s="22" t="s">
        <v>33</v>
      </c>
      <c r="C6" s="23">
        <v>90000</v>
      </c>
      <c r="D6" s="29">
        <v>1780</v>
      </c>
      <c r="E6" s="30">
        <f t="shared" ref="E6:E35" si="0">IF(OR(B6="",C6="",D6="",C6=0),"",D6/C6*100)</f>
        <v>1.9777777777777776</v>
      </c>
      <c r="F6" s="21" t="s">
        <v>51</v>
      </c>
    </row>
    <row r="7" spans="1:6" x14ac:dyDescent="0.2">
      <c r="A7" s="27">
        <v>46160</v>
      </c>
      <c r="B7" s="22" t="s">
        <v>36</v>
      </c>
      <c r="C7" s="23">
        <v>25000</v>
      </c>
      <c r="D7" s="29">
        <v>375</v>
      </c>
      <c r="E7" s="30">
        <f t="shared" si="0"/>
        <v>1.5</v>
      </c>
      <c r="F7" s="21" t="s">
        <v>52</v>
      </c>
    </row>
    <row r="8" spans="1:6" x14ac:dyDescent="0.2">
      <c r="A8" s="4"/>
      <c r="B8" s="3"/>
      <c r="C8" s="5"/>
      <c r="D8" s="7"/>
      <c r="E8" s="30" t="str">
        <f t="shared" si="0"/>
        <v/>
      </c>
      <c r="F8" s="2"/>
    </row>
    <row r="9" spans="1:6" x14ac:dyDescent="0.2">
      <c r="A9" s="4"/>
      <c r="B9" s="3"/>
      <c r="C9" s="5"/>
      <c r="D9" s="7"/>
      <c r="E9" s="30" t="str">
        <f t="shared" si="0"/>
        <v/>
      </c>
      <c r="F9" s="2"/>
    </row>
    <row r="10" spans="1:6" x14ac:dyDescent="0.2">
      <c r="A10" s="4"/>
      <c r="B10" s="3"/>
      <c r="C10" s="5"/>
      <c r="D10" s="7"/>
      <c r="E10" s="30" t="str">
        <f t="shared" si="0"/>
        <v/>
      </c>
      <c r="F10" s="2"/>
    </row>
    <row r="11" spans="1:6" x14ac:dyDescent="0.2">
      <c r="A11" s="4"/>
      <c r="B11" s="3"/>
      <c r="C11" s="5"/>
      <c r="D11" s="7"/>
      <c r="E11" s="30" t="str">
        <f t="shared" si="0"/>
        <v/>
      </c>
      <c r="F11" s="2"/>
    </row>
    <row r="12" spans="1:6" x14ac:dyDescent="0.2">
      <c r="A12" s="4"/>
      <c r="B12" s="3"/>
      <c r="C12" s="5"/>
      <c r="D12" s="7"/>
      <c r="E12" s="30" t="str">
        <f t="shared" si="0"/>
        <v/>
      </c>
      <c r="F12" s="2"/>
    </row>
    <row r="13" spans="1:6" x14ac:dyDescent="0.2">
      <c r="A13" s="4"/>
      <c r="B13" s="3"/>
      <c r="C13" s="5"/>
      <c r="D13" s="7"/>
      <c r="E13" s="30" t="str">
        <f t="shared" si="0"/>
        <v/>
      </c>
      <c r="F13" s="2"/>
    </row>
    <row r="14" spans="1:6" x14ac:dyDescent="0.2">
      <c r="A14" s="4"/>
      <c r="B14" s="3"/>
      <c r="C14" s="5"/>
      <c r="D14" s="7"/>
      <c r="E14" s="30" t="str">
        <f t="shared" si="0"/>
        <v/>
      </c>
      <c r="F14" s="2"/>
    </row>
    <row r="15" spans="1:6" x14ac:dyDescent="0.2">
      <c r="A15" s="4"/>
      <c r="B15" s="3"/>
      <c r="C15" s="5"/>
      <c r="D15" s="7"/>
      <c r="E15" s="30" t="str">
        <f t="shared" si="0"/>
        <v/>
      </c>
      <c r="F15" s="2"/>
    </row>
    <row r="16" spans="1:6" x14ac:dyDescent="0.2">
      <c r="A16" s="4"/>
      <c r="B16" s="3"/>
      <c r="C16" s="5"/>
      <c r="D16" s="7"/>
      <c r="E16" s="30" t="str">
        <f t="shared" si="0"/>
        <v/>
      </c>
      <c r="F16" s="2"/>
    </row>
    <row r="17" spans="1:6" x14ac:dyDescent="0.2">
      <c r="A17" s="4"/>
      <c r="B17" s="3"/>
      <c r="C17" s="5"/>
      <c r="D17" s="7"/>
      <c r="E17" s="30" t="str">
        <f t="shared" si="0"/>
        <v/>
      </c>
      <c r="F17" s="2"/>
    </row>
    <row r="18" spans="1:6" x14ac:dyDescent="0.2">
      <c r="A18" s="4"/>
      <c r="B18" s="3"/>
      <c r="C18" s="5"/>
      <c r="D18" s="7"/>
      <c r="E18" s="30" t="str">
        <f t="shared" si="0"/>
        <v/>
      </c>
      <c r="F18" s="2"/>
    </row>
    <row r="19" spans="1:6" x14ac:dyDescent="0.2">
      <c r="A19" s="4"/>
      <c r="B19" s="3"/>
      <c r="C19" s="5"/>
      <c r="D19" s="7"/>
      <c r="E19" s="30" t="str">
        <f t="shared" si="0"/>
        <v/>
      </c>
      <c r="F19" s="2"/>
    </row>
    <row r="20" spans="1:6" x14ac:dyDescent="0.2">
      <c r="A20" s="4"/>
      <c r="B20" s="3"/>
      <c r="C20" s="5"/>
      <c r="D20" s="7"/>
      <c r="E20" s="30" t="str">
        <f t="shared" si="0"/>
        <v/>
      </c>
      <c r="F20" s="2"/>
    </row>
    <row r="21" spans="1:6" x14ac:dyDescent="0.2">
      <c r="A21" s="4"/>
      <c r="B21" s="3"/>
      <c r="C21" s="5"/>
      <c r="D21" s="7"/>
      <c r="E21" s="30" t="str">
        <f t="shared" si="0"/>
        <v/>
      </c>
      <c r="F21" s="2"/>
    </row>
    <row r="22" spans="1:6" x14ac:dyDescent="0.2">
      <c r="A22" s="4"/>
      <c r="B22" s="3"/>
      <c r="C22" s="5"/>
      <c r="D22" s="7"/>
      <c r="E22" s="30" t="str">
        <f t="shared" si="0"/>
        <v/>
      </c>
      <c r="F22" s="2"/>
    </row>
    <row r="23" spans="1:6" x14ac:dyDescent="0.2">
      <c r="A23" s="4"/>
      <c r="B23" s="3"/>
      <c r="C23" s="5"/>
      <c r="D23" s="7"/>
      <c r="E23" s="30" t="str">
        <f t="shared" si="0"/>
        <v/>
      </c>
      <c r="F23" s="2"/>
    </row>
    <row r="24" spans="1:6" x14ac:dyDescent="0.2">
      <c r="A24" s="4"/>
      <c r="B24" s="3"/>
      <c r="C24" s="5"/>
      <c r="D24" s="7"/>
      <c r="E24" s="30" t="str">
        <f t="shared" si="0"/>
        <v/>
      </c>
      <c r="F24" s="2"/>
    </row>
    <row r="25" spans="1:6" x14ac:dyDescent="0.2">
      <c r="A25" s="4"/>
      <c r="B25" s="3"/>
      <c r="C25" s="5"/>
      <c r="D25" s="7"/>
      <c r="E25" s="30" t="str">
        <f t="shared" si="0"/>
        <v/>
      </c>
      <c r="F25" s="2"/>
    </row>
    <row r="26" spans="1:6" x14ac:dyDescent="0.2">
      <c r="A26" s="4"/>
      <c r="B26" s="3"/>
      <c r="C26" s="5"/>
      <c r="D26" s="7"/>
      <c r="E26" s="30" t="str">
        <f t="shared" si="0"/>
        <v/>
      </c>
      <c r="F26" s="2"/>
    </row>
    <row r="27" spans="1:6" x14ac:dyDescent="0.2">
      <c r="A27" s="4"/>
      <c r="B27" s="3"/>
      <c r="C27" s="5"/>
      <c r="D27" s="7"/>
      <c r="E27" s="30" t="str">
        <f t="shared" si="0"/>
        <v/>
      </c>
      <c r="F27" s="2"/>
    </row>
    <row r="28" spans="1:6" x14ac:dyDescent="0.2">
      <c r="A28" s="4"/>
      <c r="B28" s="3"/>
      <c r="C28" s="5"/>
      <c r="D28" s="7"/>
      <c r="E28" s="30" t="str">
        <f t="shared" si="0"/>
        <v/>
      </c>
      <c r="F28" s="2"/>
    </row>
    <row r="29" spans="1:6" x14ac:dyDescent="0.2">
      <c r="A29" s="4"/>
      <c r="B29" s="3"/>
      <c r="C29" s="5"/>
      <c r="D29" s="7"/>
      <c r="E29" s="30" t="str">
        <f t="shared" si="0"/>
        <v/>
      </c>
      <c r="F29" s="2"/>
    </row>
    <row r="30" spans="1:6" x14ac:dyDescent="0.2">
      <c r="A30" s="4"/>
      <c r="B30" s="3"/>
      <c r="C30" s="5"/>
      <c r="D30" s="7"/>
      <c r="E30" s="30" t="str">
        <f t="shared" si="0"/>
        <v/>
      </c>
      <c r="F30" s="2"/>
    </row>
    <row r="31" spans="1:6" x14ac:dyDescent="0.2">
      <c r="A31" s="4"/>
      <c r="B31" s="3"/>
      <c r="C31" s="5"/>
      <c r="D31" s="7"/>
      <c r="E31" s="30" t="str">
        <f t="shared" si="0"/>
        <v/>
      </c>
      <c r="F31" s="2"/>
    </row>
    <row r="32" spans="1:6" x14ac:dyDescent="0.2">
      <c r="A32" s="4"/>
      <c r="B32" s="3"/>
      <c r="C32" s="5"/>
      <c r="D32" s="7"/>
      <c r="E32" s="30" t="str">
        <f t="shared" si="0"/>
        <v/>
      </c>
      <c r="F32" s="2"/>
    </row>
    <row r="33" spans="1:6" x14ac:dyDescent="0.2">
      <c r="A33" s="4"/>
      <c r="B33" s="3"/>
      <c r="C33" s="5"/>
      <c r="D33" s="7"/>
      <c r="E33" s="30" t="str">
        <f t="shared" si="0"/>
        <v/>
      </c>
      <c r="F33" s="2"/>
    </row>
    <row r="34" spans="1:6" x14ac:dyDescent="0.2">
      <c r="A34" s="4"/>
      <c r="B34" s="3"/>
      <c r="C34" s="5"/>
      <c r="D34" s="7"/>
      <c r="E34" s="30" t="str">
        <f t="shared" si="0"/>
        <v/>
      </c>
      <c r="F34" s="2"/>
    </row>
    <row r="35" spans="1:6" x14ac:dyDescent="0.2">
      <c r="A35" s="4"/>
      <c r="B35" s="3"/>
      <c r="C35" s="5"/>
      <c r="D35" s="7"/>
      <c r="E35" s="30" t="str">
        <f t="shared" si="0"/>
        <v/>
      </c>
      <c r="F35" s="2"/>
    </row>
  </sheetData>
  <mergeCells count="3">
    <mergeCell ref="A3:F3"/>
    <mergeCell ref="A2:F2"/>
    <mergeCell ref="A1:F1"/>
  </mergeCells>
  <conditionalFormatting sqref="E6:E35">
    <cfRule type="cellIs" dxfId="1" priority="1" operator="greaterThanOrEqual">
      <formula>1.5</formula>
    </cfRule>
    <cfRule type="cellIs" dxfId="0" priority="2" operator="lessThan">
      <formula>1</formula>
    </cfRule>
  </conditionalFormatting>
  <printOptions horizontalCentered="1"/>
  <pageMargins left="0.4" right="0.4" top="0.5" bottom="0.6" header="0.5" footer="0.5"/>
  <pageSetup orientation="landscape"/>
  <headerFooter>
    <oddFooter>&amp;L&amp;"Arial"&amp;8 Travel &amp; Finance Tips  ·  travelfinancetips.com&amp;R&amp;"Arial"&amp;8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Balances!$A$6:$A$35</xm:f>
          </x14:formula1>
          <xm:sqref>B6:B35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Read Me</vt:lpstr>
      <vt:lpstr>Summary</vt:lpstr>
      <vt:lpstr>Balances</vt:lpstr>
      <vt:lpstr>Redemption Log</vt:lpstr>
      <vt:lpstr>Balances!Print_Area</vt:lpstr>
      <vt:lpstr>'Read Me'!Print_Area</vt:lpstr>
      <vt:lpstr>'Redemption Log'!Print_Area</vt:lpstr>
      <vt:lpstr>Summary!Print_Area</vt:lpstr>
      <vt:lpstr>Balances!Print_Titles</vt:lpstr>
      <vt:lpstr>'Redemption Log'!Print_Titles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 &amp; Finance Tips</dc:creator>
  <cp:lastModifiedBy>Travel &amp; Finance Tips</cp:lastModifiedBy>
  <dcterms:created xsi:type="dcterms:W3CDTF">2026-07-21T14:08:31Z</dcterms:created>
  <dcterms:modified xsi:type="dcterms:W3CDTF">2026-09-24T18:08:47Z</dcterms:modified>
</cp:coreProperties>
</file>